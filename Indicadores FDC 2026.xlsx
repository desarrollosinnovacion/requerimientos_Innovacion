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defaultThemeVersion="166925"/>
  <mc:AlternateContent xmlns:mc="http://schemas.openxmlformats.org/markup-compatibility/2006">
    <mc:Choice Requires="x15">
      <x15ac:absPath xmlns:x15ac="http://schemas.microsoft.com/office/spreadsheetml/2010/11/ac" url="/Users/cesartecun/Desktop/"/>
    </mc:Choice>
  </mc:AlternateContent>
  <xr:revisionPtr revIDLastSave="0" documentId="13_ncr:1_{B43BE7B5-C0C4-384E-8390-E65977DE4EA5}" xr6:coauthVersionLast="47" xr6:coauthVersionMax="47" xr10:uidLastSave="{00000000-0000-0000-0000-000000000000}"/>
  <bookViews>
    <workbookView xWindow="-29400" yWindow="660" windowWidth="29400" windowHeight="18460" firstSheet="10" activeTab="21" xr2:uid="{E605AF97-1A08-447D-B024-AFDB1E715A4E}"/>
  </bookViews>
  <sheets>
    <sheet name="Print de Roa para Copiar " sheetId="11" state="hidden" r:id="rId1"/>
    <sheet name="Respaldo NPS" sheetId="9" state="hidden" r:id="rId2"/>
    <sheet name="Aux." sheetId="4" state="hidden" r:id="rId3"/>
    <sheet name="T1-2022" sheetId="2" state="hidden" r:id="rId4"/>
    <sheet name="T2-2022" sheetId="12" state="hidden" r:id="rId5"/>
    <sheet name="T3-2022" sheetId="13" state="hidden" r:id="rId6"/>
    <sheet name="Detalle BI" sheetId="10" state="hidden" r:id="rId7"/>
    <sheet name="CÓMO" sheetId="7" state="hidden" r:id="rId8"/>
    <sheet name="Kick Off T3" sheetId="14" state="hidden" r:id="rId9"/>
    <sheet name="Kick Off T4 y cierre" sheetId="15" state="hidden" r:id="rId10"/>
    <sheet name="Indicadores FDC" sheetId="36" r:id="rId11"/>
    <sheet name="Diciembre-Enero" sheetId="50" r:id="rId12"/>
    <sheet name="Enero-Febrero 2026" sheetId="41" r:id="rId13"/>
    <sheet name="Febrero-Marzo 2026" sheetId="43" r:id="rId14"/>
    <sheet name="Marzo-abril 2026" sheetId="51" r:id="rId15"/>
    <sheet name="Abril-Mayo 2026" sheetId="44" r:id="rId16"/>
    <sheet name="Feedback T4 por UNs " sheetId="8" state="hidden" r:id="rId17"/>
    <sheet name="Mayo-Junio 2026" sheetId="52" r:id="rId18"/>
    <sheet name="Junio-Julio 2026" sheetId="45" r:id="rId19"/>
    <sheet name="Julio-Agosto 2026" sheetId="46" r:id="rId20"/>
    <sheet name="Agosto-Septiembre 2026" sheetId="47" r:id="rId21"/>
    <sheet name="Septiembre-Octubre 2026" sheetId="48" r:id="rId22"/>
    <sheet name="Octubre-Noviembre 2026" sheetId="49" r:id="rId23"/>
  </sheets>
  <definedNames>
    <definedName name="ACTIVOS">#REF!</definedName>
    <definedName name="CLAS">#REF!</definedName>
    <definedName name="COMPONENTE">#REF!</definedName>
    <definedName name="CUENTA">#REF!</definedName>
    <definedName name="CUINCO">#REF!</definedName>
    <definedName name="DIMENSIONES">#REF!</definedName>
    <definedName name="EMPRESA">#REF!</definedName>
    <definedName name="EMPRO">#REF!</definedName>
    <definedName name="EV__EVCOM_OPTIONS__" hidden="1">8</definedName>
    <definedName name="EV__EXPOPTIONS__" hidden="1">0</definedName>
    <definedName name="EV__LOCKEDCVW__RATE" hidden="1">"ACTUAL,GTQ,END,Global,2014.TOTAL,Periodic,"</definedName>
    <definedName name="EV__MAXEXPCOLS__" hidden="1">100</definedName>
    <definedName name="EV__MAXEXPROWS__" hidden="1">1000</definedName>
    <definedName name="EV__MEMORYCVW__" hidden="1">0</definedName>
    <definedName name="EV__WBEVMODE__" hidden="1">0</definedName>
    <definedName name="EV__WBVERSION__" hidden="1">0</definedName>
    <definedName name="Inicio_del_proyecto">#REF!</definedName>
    <definedName name="MERCADO">#REF!</definedName>
    <definedName name="MONEDA">#REF!</definedName>
    <definedName name="PRINCIPAL">#REF!</definedName>
    <definedName name="Semana_para_mostr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52" l="1"/>
  <c r="D9" i="52"/>
  <c r="E8" i="52"/>
  <c r="E9" i="52"/>
  <c r="E9" i="43"/>
  <c r="D8" i="43"/>
  <c r="E8" i="43" s="1"/>
  <c r="D9" i="43"/>
  <c r="D8" i="44"/>
  <c r="E8" i="44" s="1"/>
  <c r="D9" i="44"/>
  <c r="E9" i="44" s="1"/>
  <c r="D8" i="51"/>
  <c r="E8" i="51" s="1"/>
  <c r="D9" i="51"/>
  <c r="E9" i="51" s="1"/>
  <c r="D10" i="44"/>
  <c r="E10" i="44" s="1"/>
  <c r="D7" i="44"/>
  <c r="E7" i="44" s="1"/>
  <c r="D6" i="44"/>
  <c r="E6" i="44" s="1"/>
  <c r="D5" i="44"/>
  <c r="E5" i="44" s="1"/>
  <c r="D10" i="51"/>
  <c r="E10" i="51" s="1"/>
  <c r="D7" i="51"/>
  <c r="E7" i="51" s="1"/>
  <c r="D6" i="51"/>
  <c r="E6" i="51" s="1"/>
  <c r="D5" i="51"/>
  <c r="E5" i="51" s="1"/>
  <c r="D35" i="52"/>
  <c r="E35" i="52" s="1"/>
  <c r="D34" i="52"/>
  <c r="E34" i="52" s="1"/>
  <c r="D33" i="52"/>
  <c r="E33" i="52" s="1"/>
  <c r="D32" i="52"/>
  <c r="E32" i="52" s="1"/>
  <c r="D31" i="52"/>
  <c r="E31" i="52" s="1"/>
  <c r="D30" i="52"/>
  <c r="E30" i="52" s="1"/>
  <c r="D29" i="52"/>
  <c r="E29" i="52" s="1"/>
  <c r="D23" i="52"/>
  <c r="E23" i="52" s="1"/>
  <c r="D22" i="52"/>
  <c r="E22" i="52" s="1"/>
  <c r="D21" i="52"/>
  <c r="E21" i="52" s="1"/>
  <c r="D18" i="52"/>
  <c r="E18" i="52" s="1"/>
  <c r="D17" i="52"/>
  <c r="E17" i="52" s="1"/>
  <c r="D16" i="52"/>
  <c r="E16" i="52" s="1"/>
  <c r="D15" i="52"/>
  <c r="E15" i="52" s="1"/>
  <c r="D14" i="52"/>
  <c r="E14" i="52" s="1"/>
  <c r="D13" i="52"/>
  <c r="E13" i="52" s="1"/>
  <c r="D10" i="52"/>
  <c r="E10" i="52" s="1"/>
  <c r="D7" i="52"/>
  <c r="E7" i="52" s="1"/>
  <c r="D6" i="52"/>
  <c r="E6" i="52" s="1"/>
  <c r="D5" i="52"/>
  <c r="E5" i="52" s="1"/>
  <c r="D35" i="51"/>
  <c r="E35" i="51" s="1"/>
  <c r="D34" i="51"/>
  <c r="E34" i="51" s="1"/>
  <c r="D33" i="51"/>
  <c r="E33" i="51" s="1"/>
  <c r="D32" i="51"/>
  <c r="E32" i="51" s="1"/>
  <c r="D31" i="51"/>
  <c r="E31" i="51" s="1"/>
  <c r="D30" i="51"/>
  <c r="E30" i="51" s="1"/>
  <c r="D29" i="51"/>
  <c r="E29" i="51" s="1"/>
  <c r="D23" i="51"/>
  <c r="E23" i="51" s="1"/>
  <c r="D22" i="51"/>
  <c r="E22" i="51" s="1"/>
  <c r="D21" i="51"/>
  <c r="E21" i="51" s="1"/>
  <c r="D18" i="51"/>
  <c r="E18" i="51" s="1"/>
  <c r="D17" i="51"/>
  <c r="E17" i="51" s="1"/>
  <c r="D16" i="51"/>
  <c r="E16" i="51" s="1"/>
  <c r="D15" i="51"/>
  <c r="E15" i="51" s="1"/>
  <c r="D14" i="51"/>
  <c r="E14" i="51" s="1"/>
  <c r="D13" i="51"/>
  <c r="E13" i="51" s="1"/>
  <c r="D33" i="50"/>
  <c r="E33" i="50" s="1"/>
  <c r="D32" i="50"/>
  <c r="E32" i="50" s="1"/>
  <c r="D31" i="50"/>
  <c r="E31" i="50" s="1"/>
  <c r="D30" i="50"/>
  <c r="E30" i="50" s="1"/>
  <c r="D29" i="50"/>
  <c r="E29" i="50" s="1"/>
  <c r="D28" i="50"/>
  <c r="E28" i="50" s="1"/>
  <c r="D27" i="50"/>
  <c r="E27" i="50" s="1"/>
  <c r="D21" i="50"/>
  <c r="E21" i="50" s="1"/>
  <c r="D20" i="50"/>
  <c r="E20" i="50" s="1"/>
  <c r="D19" i="50"/>
  <c r="E19" i="50" s="1"/>
  <c r="D16" i="50"/>
  <c r="E16" i="50" s="1"/>
  <c r="D15" i="50"/>
  <c r="E15" i="50" s="1"/>
  <c r="D14" i="50"/>
  <c r="E14" i="50" s="1"/>
  <c r="D13" i="50"/>
  <c r="E13" i="50" s="1"/>
  <c r="D12" i="50"/>
  <c r="E12" i="50" s="1"/>
  <c r="D11" i="50"/>
  <c r="E11" i="50" s="1"/>
  <c r="D8" i="50"/>
  <c r="E8" i="50" s="1"/>
  <c r="D7" i="50"/>
  <c r="E7" i="50" s="1"/>
  <c r="D6" i="50"/>
  <c r="E6" i="50" s="1"/>
  <c r="D5" i="50"/>
  <c r="E5" i="50" s="1"/>
  <c r="D33" i="49"/>
  <c r="E33" i="49" s="1"/>
  <c r="D32" i="49"/>
  <c r="E32" i="49" s="1"/>
  <c r="D31" i="49"/>
  <c r="E31" i="49" s="1"/>
  <c r="D30" i="49"/>
  <c r="E30" i="49" s="1"/>
  <c r="D29" i="49"/>
  <c r="E29" i="49" s="1"/>
  <c r="D28" i="49"/>
  <c r="E28" i="49" s="1"/>
  <c r="D27" i="49"/>
  <c r="E27" i="49" s="1"/>
  <c r="D21" i="49"/>
  <c r="E21" i="49" s="1"/>
  <c r="D20" i="49"/>
  <c r="E20" i="49" s="1"/>
  <c r="D19" i="49"/>
  <c r="E19" i="49" s="1"/>
  <c r="D16" i="49"/>
  <c r="E16" i="49" s="1"/>
  <c r="D15" i="49"/>
  <c r="E15" i="49" s="1"/>
  <c r="D14" i="49"/>
  <c r="E14" i="49" s="1"/>
  <c r="D13" i="49"/>
  <c r="E13" i="49" s="1"/>
  <c r="D12" i="49"/>
  <c r="E12" i="49" s="1"/>
  <c r="D11" i="49"/>
  <c r="E11" i="49" s="1"/>
  <c r="D8" i="49"/>
  <c r="E8" i="49" s="1"/>
  <c r="D7" i="49"/>
  <c r="E7" i="49" s="1"/>
  <c r="D6" i="49"/>
  <c r="E6" i="49" s="1"/>
  <c r="D5" i="49"/>
  <c r="E5" i="49" s="1"/>
  <c r="D33" i="48"/>
  <c r="E33" i="48" s="1"/>
  <c r="D32" i="48"/>
  <c r="E32" i="48" s="1"/>
  <c r="D31" i="48"/>
  <c r="E31" i="48" s="1"/>
  <c r="D30" i="48"/>
  <c r="E30" i="48" s="1"/>
  <c r="D29" i="48"/>
  <c r="E29" i="48" s="1"/>
  <c r="D28" i="48"/>
  <c r="E28" i="48" s="1"/>
  <c r="D27" i="48"/>
  <c r="E27" i="48" s="1"/>
  <c r="D21" i="48"/>
  <c r="E21" i="48" s="1"/>
  <c r="D20" i="48"/>
  <c r="E20" i="48" s="1"/>
  <c r="D19" i="48"/>
  <c r="E19" i="48" s="1"/>
  <c r="D16" i="48"/>
  <c r="E16" i="48" s="1"/>
  <c r="D15" i="48"/>
  <c r="E15" i="48" s="1"/>
  <c r="D14" i="48"/>
  <c r="E14" i="48" s="1"/>
  <c r="D13" i="48"/>
  <c r="E13" i="48" s="1"/>
  <c r="D12" i="48"/>
  <c r="E12" i="48" s="1"/>
  <c r="D11" i="48"/>
  <c r="E11" i="48" s="1"/>
  <c r="D8" i="48"/>
  <c r="E8" i="48" s="1"/>
  <c r="D7" i="48"/>
  <c r="E7" i="48" s="1"/>
  <c r="D6" i="48"/>
  <c r="E6" i="48" s="1"/>
  <c r="D5" i="48"/>
  <c r="E5" i="48" s="1"/>
  <c r="D33" i="47"/>
  <c r="E33" i="47" s="1"/>
  <c r="D32" i="47"/>
  <c r="E32" i="47" s="1"/>
  <c r="D31" i="47"/>
  <c r="E31" i="47" s="1"/>
  <c r="D30" i="47"/>
  <c r="E30" i="47" s="1"/>
  <c r="D29" i="47"/>
  <c r="E29" i="47" s="1"/>
  <c r="D28" i="47"/>
  <c r="E28" i="47" s="1"/>
  <c r="D27" i="47"/>
  <c r="E27" i="47" s="1"/>
  <c r="D21" i="47"/>
  <c r="E21" i="47" s="1"/>
  <c r="D20" i="47"/>
  <c r="E20" i="47" s="1"/>
  <c r="D19" i="47"/>
  <c r="E19" i="47" s="1"/>
  <c r="D16" i="47"/>
  <c r="E16" i="47" s="1"/>
  <c r="D15" i="47"/>
  <c r="E15" i="47" s="1"/>
  <c r="D14" i="47"/>
  <c r="E14" i="47" s="1"/>
  <c r="D13" i="47"/>
  <c r="E13" i="47" s="1"/>
  <c r="D12" i="47"/>
  <c r="E12" i="47" s="1"/>
  <c r="D11" i="47"/>
  <c r="E11" i="47" s="1"/>
  <c r="D8" i="47"/>
  <c r="E8" i="47" s="1"/>
  <c r="D7" i="47"/>
  <c r="E7" i="47" s="1"/>
  <c r="D6" i="47"/>
  <c r="E6" i="47" s="1"/>
  <c r="D5" i="47"/>
  <c r="E5" i="47" s="1"/>
  <c r="D33" i="46"/>
  <c r="E33" i="46" s="1"/>
  <c r="D32" i="46"/>
  <c r="E32" i="46" s="1"/>
  <c r="D31" i="46"/>
  <c r="E31" i="46" s="1"/>
  <c r="D30" i="46"/>
  <c r="E30" i="46" s="1"/>
  <c r="D29" i="46"/>
  <c r="E29" i="46" s="1"/>
  <c r="D28" i="46"/>
  <c r="E28" i="46" s="1"/>
  <c r="D27" i="46"/>
  <c r="E27" i="46" s="1"/>
  <c r="D21" i="46"/>
  <c r="E21" i="46" s="1"/>
  <c r="D20" i="46"/>
  <c r="E20" i="46" s="1"/>
  <c r="D19" i="46"/>
  <c r="E19" i="46" s="1"/>
  <c r="D16" i="46"/>
  <c r="E16" i="46" s="1"/>
  <c r="D15" i="46"/>
  <c r="E15" i="46" s="1"/>
  <c r="D14" i="46"/>
  <c r="E14" i="46" s="1"/>
  <c r="D13" i="46"/>
  <c r="E13" i="46" s="1"/>
  <c r="D12" i="46"/>
  <c r="E12" i="46" s="1"/>
  <c r="D11" i="46"/>
  <c r="E11" i="46" s="1"/>
  <c r="D8" i="46"/>
  <c r="E8" i="46" s="1"/>
  <c r="D7" i="46"/>
  <c r="E7" i="46" s="1"/>
  <c r="D6" i="46"/>
  <c r="E6" i="46" s="1"/>
  <c r="D5" i="46"/>
  <c r="E5" i="46" s="1"/>
  <c r="D35" i="45"/>
  <c r="E35" i="45" s="1"/>
  <c r="D34" i="45"/>
  <c r="E34" i="45" s="1"/>
  <c r="D33" i="45"/>
  <c r="E33" i="45" s="1"/>
  <c r="D32" i="45"/>
  <c r="E32" i="45" s="1"/>
  <c r="D31" i="45"/>
  <c r="E31" i="45" s="1"/>
  <c r="D30" i="45"/>
  <c r="E30" i="45" s="1"/>
  <c r="D29" i="45"/>
  <c r="E29" i="45" s="1"/>
  <c r="D23" i="45"/>
  <c r="E23" i="45" s="1"/>
  <c r="D22" i="45"/>
  <c r="E22" i="45" s="1"/>
  <c r="D21" i="45"/>
  <c r="E21" i="45" s="1"/>
  <c r="D18" i="45"/>
  <c r="E18" i="45" s="1"/>
  <c r="D17" i="45"/>
  <c r="E17" i="45" s="1"/>
  <c r="D16" i="45"/>
  <c r="E16" i="45" s="1"/>
  <c r="D15" i="45"/>
  <c r="E15" i="45" s="1"/>
  <c r="D14" i="45"/>
  <c r="E14" i="45" s="1"/>
  <c r="D13" i="45"/>
  <c r="E13" i="45" s="1"/>
  <c r="D10" i="45"/>
  <c r="E10" i="45" s="1"/>
  <c r="D7" i="45"/>
  <c r="E7" i="45" s="1"/>
  <c r="D6" i="45"/>
  <c r="E6" i="45" s="1"/>
  <c r="D5" i="45"/>
  <c r="E5" i="45" s="1"/>
  <c r="D35" i="44"/>
  <c r="E35" i="44" s="1"/>
  <c r="D34" i="44"/>
  <c r="E34" i="44" s="1"/>
  <c r="D33" i="44"/>
  <c r="E33" i="44" s="1"/>
  <c r="D32" i="44"/>
  <c r="E32" i="44" s="1"/>
  <c r="D31" i="44"/>
  <c r="E31" i="44" s="1"/>
  <c r="D30" i="44"/>
  <c r="E30" i="44" s="1"/>
  <c r="D29" i="44"/>
  <c r="E29" i="44" s="1"/>
  <c r="D23" i="44"/>
  <c r="E23" i="44" s="1"/>
  <c r="D22" i="44"/>
  <c r="E22" i="44" s="1"/>
  <c r="D21" i="44"/>
  <c r="E21" i="44" s="1"/>
  <c r="D18" i="44"/>
  <c r="E18" i="44" s="1"/>
  <c r="D17" i="44"/>
  <c r="E17" i="44" s="1"/>
  <c r="D16" i="44"/>
  <c r="E16" i="44" s="1"/>
  <c r="D15" i="44"/>
  <c r="E15" i="44" s="1"/>
  <c r="D14" i="44"/>
  <c r="E14" i="44" s="1"/>
  <c r="D13" i="44"/>
  <c r="E13" i="44" s="1"/>
  <c r="D35" i="43"/>
  <c r="E35" i="43" s="1"/>
  <c r="D34" i="43"/>
  <c r="E34" i="43" s="1"/>
  <c r="D33" i="43"/>
  <c r="E33" i="43" s="1"/>
  <c r="D32" i="43"/>
  <c r="E32" i="43" s="1"/>
  <c r="D31" i="43"/>
  <c r="E31" i="43" s="1"/>
  <c r="D30" i="43"/>
  <c r="E30" i="43" s="1"/>
  <c r="D29" i="43"/>
  <c r="E29" i="43" s="1"/>
  <c r="D23" i="43"/>
  <c r="E23" i="43" s="1"/>
  <c r="D22" i="43"/>
  <c r="E22" i="43" s="1"/>
  <c r="D21" i="43"/>
  <c r="E21" i="43" s="1"/>
  <c r="D18" i="43"/>
  <c r="E18" i="43" s="1"/>
  <c r="D17" i="43"/>
  <c r="E17" i="43" s="1"/>
  <c r="D16" i="43"/>
  <c r="E16" i="43" s="1"/>
  <c r="D15" i="43"/>
  <c r="E15" i="43" s="1"/>
  <c r="D14" i="43"/>
  <c r="E14" i="43" s="1"/>
  <c r="D13" i="43"/>
  <c r="E13" i="43" s="1"/>
  <c r="D10" i="43"/>
  <c r="E10" i="43" s="1"/>
  <c r="D7" i="43"/>
  <c r="E7" i="43" s="1"/>
  <c r="D6" i="43"/>
  <c r="E6" i="43" s="1"/>
  <c r="D5" i="43"/>
  <c r="E5" i="43" s="1"/>
  <c r="D33" i="41"/>
  <c r="E33" i="41" s="1"/>
  <c r="D32" i="41"/>
  <c r="E32" i="41" s="1"/>
  <c r="D31" i="41"/>
  <c r="E31" i="41" s="1"/>
  <c r="D30" i="41"/>
  <c r="E30" i="41" s="1"/>
  <c r="D29" i="41"/>
  <c r="E29" i="41" s="1"/>
  <c r="D28" i="41"/>
  <c r="E28" i="41" s="1"/>
  <c r="D27" i="41"/>
  <c r="E27" i="41" s="1"/>
  <c r="D21" i="41"/>
  <c r="E21" i="41" s="1"/>
  <c r="D20" i="41"/>
  <c r="E20" i="41" s="1"/>
  <c r="D19" i="41"/>
  <c r="E19" i="41" s="1"/>
  <c r="D16" i="41"/>
  <c r="E16" i="41" s="1"/>
  <c r="D15" i="41"/>
  <c r="E15" i="41" s="1"/>
  <c r="D14" i="41"/>
  <c r="E14" i="41" s="1"/>
  <c r="D13" i="41"/>
  <c r="E13" i="41" s="1"/>
  <c r="D12" i="41"/>
  <c r="E12" i="41" s="1"/>
  <c r="D11" i="41"/>
  <c r="E11" i="41" s="1"/>
  <c r="D8" i="41"/>
  <c r="E8" i="41" s="1"/>
  <c r="D7" i="41"/>
  <c r="E7" i="41" s="1"/>
  <c r="D6" i="41"/>
  <c r="E6" i="41" s="1"/>
  <c r="D5" i="41"/>
  <c r="E5" i="41" s="1"/>
  <c r="E11" i="13" l="1"/>
  <c r="E12" i="13"/>
  <c r="D13" i="13"/>
  <c r="E13" i="13" s="1"/>
  <c r="D14" i="13"/>
  <c r="E14" i="13" s="1"/>
  <c r="E15" i="13"/>
  <c r="D16" i="13"/>
  <c r="E16" i="13" s="1"/>
  <c r="E3" i="13"/>
  <c r="E4" i="13"/>
  <c r="E5" i="13"/>
  <c r="E6" i="13"/>
  <c r="E7" i="13"/>
  <c r="D17" i="12" l="1"/>
  <c r="E17" i="12" s="1"/>
  <c r="D16" i="12"/>
  <c r="E16" i="12" s="1"/>
  <c r="D15" i="12"/>
  <c r="E15" i="12" s="1"/>
  <c r="D14" i="12"/>
  <c r="E14" i="12" s="1"/>
  <c r="F28" i="11"/>
  <c r="F29" i="11"/>
  <c r="F32" i="11"/>
  <c r="F33" i="11"/>
  <c r="F36" i="11"/>
  <c r="F37" i="11"/>
  <c r="E13" i="12"/>
  <c r="D12" i="12"/>
  <c r="E12" i="12" s="1"/>
  <c r="E11" i="12"/>
  <c r="E7" i="12"/>
  <c r="E6" i="12"/>
  <c r="E5" i="12"/>
  <c r="E4" i="12"/>
  <c r="E3" i="12"/>
  <c r="D20" i="2"/>
  <c r="E20" i="2"/>
  <c r="E14" i="2"/>
  <c r="E13" i="2"/>
  <c r="H2" i="10"/>
  <c r="G2" i="10"/>
  <c r="I2" i="10"/>
  <c r="J13" i="10"/>
  <c r="J12" i="10"/>
  <c r="J11" i="10"/>
  <c r="J10" i="10"/>
  <c r="J9" i="10"/>
  <c r="J8" i="10"/>
  <c r="J7" i="10"/>
  <c r="J6" i="10"/>
  <c r="J5" i="10"/>
  <c r="J4" i="10"/>
  <c r="B72" i="9"/>
  <c r="B71" i="9"/>
  <c r="B70" i="9"/>
  <c r="B69" i="9"/>
  <c r="Q84" i="9"/>
  <c r="L84" i="9"/>
  <c r="Q83" i="9"/>
  <c r="L83" i="9"/>
  <c r="Q82" i="9"/>
  <c r="L82" i="9"/>
  <c r="U81" i="9"/>
  <c r="T81" i="9"/>
  <c r="S81" i="9"/>
  <c r="R81" i="9"/>
  <c r="P81" i="9"/>
  <c r="O81" i="9"/>
  <c r="N81" i="9"/>
  <c r="M81" i="9"/>
  <c r="K81" i="9"/>
  <c r="J81" i="9"/>
  <c r="I81" i="9"/>
  <c r="H81" i="9"/>
  <c r="G81" i="9"/>
  <c r="Q80" i="9"/>
  <c r="L80" i="9"/>
  <c r="F80" i="9"/>
  <c r="Q79" i="9"/>
  <c r="L79" i="9"/>
  <c r="Q78" i="9"/>
  <c r="L78" i="9"/>
  <c r="U77" i="9"/>
  <c r="T77" i="9"/>
  <c r="S77" i="9"/>
  <c r="R77" i="9"/>
  <c r="P77" i="9"/>
  <c r="O77" i="9"/>
  <c r="N77" i="9"/>
  <c r="M77" i="9"/>
  <c r="K77" i="9"/>
  <c r="J77" i="9"/>
  <c r="I77" i="9"/>
  <c r="H77" i="9"/>
  <c r="G77" i="9"/>
  <c r="Q76" i="9"/>
  <c r="L76" i="9"/>
  <c r="Q75" i="9"/>
  <c r="L75" i="9"/>
  <c r="F75" i="9"/>
  <c r="S73" i="9"/>
  <c r="L74" i="9"/>
  <c r="U73" i="9"/>
  <c r="T73" i="9"/>
  <c r="R73" i="9"/>
  <c r="P73" i="9"/>
  <c r="O73" i="9"/>
  <c r="N73" i="9"/>
  <c r="M73" i="9"/>
  <c r="K73" i="9"/>
  <c r="J73" i="9"/>
  <c r="I73" i="9"/>
  <c r="H73" i="9"/>
  <c r="G73" i="9"/>
  <c r="S72" i="9"/>
  <c r="S71" i="9"/>
  <c r="Q71" i="9"/>
  <c r="S70" i="9"/>
  <c r="R72" i="9"/>
  <c r="R71" i="9"/>
  <c r="R70" i="9"/>
  <c r="Q70" i="9"/>
  <c r="L72" i="9"/>
  <c r="L71" i="9"/>
  <c r="L70" i="9"/>
  <c r="L69" i="9"/>
  <c r="U69" i="9"/>
  <c r="T69" i="9"/>
  <c r="P69" i="9"/>
  <c r="O69" i="9"/>
  <c r="N69" i="9"/>
  <c r="M69" i="9"/>
  <c r="K69" i="9"/>
  <c r="J69" i="9"/>
  <c r="I69" i="9"/>
  <c r="H69" i="9"/>
  <c r="G69" i="9"/>
  <c r="B53" i="9"/>
  <c r="B52" i="9"/>
  <c r="B51" i="9"/>
  <c r="Q65" i="9"/>
  <c r="L65" i="9"/>
  <c r="F65" i="9"/>
  <c r="Q64" i="9"/>
  <c r="F64" i="9"/>
  <c r="L64" i="9"/>
  <c r="Q63" i="9"/>
  <c r="L63" i="9"/>
  <c r="U62" i="9"/>
  <c r="T62" i="9"/>
  <c r="S62" i="9"/>
  <c r="R62" i="9"/>
  <c r="P62" i="9"/>
  <c r="O62" i="9"/>
  <c r="N62" i="9"/>
  <c r="M62" i="9"/>
  <c r="K62" i="9"/>
  <c r="J62" i="9"/>
  <c r="I62" i="9"/>
  <c r="H62" i="9"/>
  <c r="G62" i="9"/>
  <c r="Q61" i="9"/>
  <c r="L61" i="9"/>
  <c r="F61" i="9"/>
  <c r="Q60" i="9"/>
  <c r="L60" i="9"/>
  <c r="Q59" i="9"/>
  <c r="L59" i="9"/>
  <c r="U58" i="9"/>
  <c r="T58" i="9"/>
  <c r="S58" i="9"/>
  <c r="R58" i="9"/>
  <c r="P58" i="9"/>
  <c r="O58" i="9"/>
  <c r="N58" i="9"/>
  <c r="M58" i="9"/>
  <c r="K58" i="9"/>
  <c r="J58" i="9"/>
  <c r="I58" i="9"/>
  <c r="H58" i="9"/>
  <c r="G58" i="9"/>
  <c r="Q57" i="9"/>
  <c r="L57" i="9"/>
  <c r="Q56" i="9"/>
  <c r="L56" i="9"/>
  <c r="Q55" i="9"/>
  <c r="L55" i="9"/>
  <c r="U54" i="9"/>
  <c r="T54" i="9"/>
  <c r="S54" i="9"/>
  <c r="R54" i="9"/>
  <c r="P54" i="9"/>
  <c r="O54" i="9"/>
  <c r="N54" i="9"/>
  <c r="M54" i="9"/>
  <c r="K54" i="9"/>
  <c r="J54" i="9"/>
  <c r="I54" i="9"/>
  <c r="H54" i="9"/>
  <c r="G54" i="9"/>
  <c r="Q53" i="9"/>
  <c r="L53" i="9"/>
  <c r="F53" i="9"/>
  <c r="Q52" i="9"/>
  <c r="L52" i="9"/>
  <c r="Q51" i="9"/>
  <c r="L51" i="9"/>
  <c r="U50" i="9"/>
  <c r="T50" i="9"/>
  <c r="S50" i="9"/>
  <c r="R50" i="9"/>
  <c r="P50" i="9"/>
  <c r="O50" i="9"/>
  <c r="N50" i="9"/>
  <c r="M50" i="9"/>
  <c r="K50" i="9"/>
  <c r="J50" i="9"/>
  <c r="I50" i="9"/>
  <c r="H50" i="9"/>
  <c r="G50" i="9"/>
  <c r="Q46" i="9"/>
  <c r="L46" i="9"/>
  <c r="Q45" i="9"/>
  <c r="L45" i="9"/>
  <c r="F45" i="9"/>
  <c r="Q44" i="9"/>
  <c r="L44" i="9"/>
  <c r="U43" i="9"/>
  <c r="T43" i="9"/>
  <c r="S43" i="9"/>
  <c r="R43" i="9"/>
  <c r="P43" i="9"/>
  <c r="O43" i="9"/>
  <c r="N43" i="9"/>
  <c r="M43" i="9"/>
  <c r="K43" i="9"/>
  <c r="J43" i="9"/>
  <c r="I43" i="9"/>
  <c r="H43" i="9"/>
  <c r="G43" i="9"/>
  <c r="Q42" i="9"/>
  <c r="L42" i="9"/>
  <c r="Q41" i="9"/>
  <c r="L41" i="9"/>
  <c r="Q40" i="9"/>
  <c r="L40" i="9"/>
  <c r="U39" i="9"/>
  <c r="T39" i="9"/>
  <c r="S39" i="9"/>
  <c r="R39" i="9"/>
  <c r="P39" i="9"/>
  <c r="O39" i="9"/>
  <c r="N39" i="9"/>
  <c r="M39" i="9"/>
  <c r="K39" i="9"/>
  <c r="J39" i="9"/>
  <c r="I39" i="9"/>
  <c r="H39" i="9"/>
  <c r="G39" i="9"/>
  <c r="U35" i="9"/>
  <c r="T35" i="9"/>
  <c r="S35" i="9"/>
  <c r="R35" i="9"/>
  <c r="P35" i="9"/>
  <c r="O35" i="9"/>
  <c r="N35" i="9"/>
  <c r="M35" i="9"/>
  <c r="K35" i="9"/>
  <c r="J35" i="9"/>
  <c r="I35" i="9"/>
  <c r="H35" i="9"/>
  <c r="G35" i="9"/>
  <c r="U28" i="9"/>
  <c r="T28" i="9"/>
  <c r="S28" i="9"/>
  <c r="R28" i="9"/>
  <c r="Q28" i="9"/>
  <c r="P28" i="9"/>
  <c r="O28" i="9"/>
  <c r="N28" i="9"/>
  <c r="M28" i="9"/>
  <c r="K28" i="9"/>
  <c r="J28" i="9"/>
  <c r="I28" i="9"/>
  <c r="H28" i="9"/>
  <c r="G28" i="9"/>
  <c r="U24" i="9"/>
  <c r="T24" i="9"/>
  <c r="S24" i="9"/>
  <c r="R24" i="9"/>
  <c r="P24" i="9"/>
  <c r="O24" i="9"/>
  <c r="N24" i="9"/>
  <c r="M24" i="9"/>
  <c r="K24" i="9"/>
  <c r="J24" i="9"/>
  <c r="I24" i="9"/>
  <c r="H24" i="9"/>
  <c r="G24" i="9"/>
  <c r="U20" i="9"/>
  <c r="T20" i="9"/>
  <c r="S20" i="9"/>
  <c r="R20" i="9"/>
  <c r="Q20" i="9"/>
  <c r="P20" i="9"/>
  <c r="O20" i="9"/>
  <c r="N20" i="9"/>
  <c r="M20" i="9"/>
  <c r="K20" i="9"/>
  <c r="J20" i="9"/>
  <c r="I20" i="9"/>
  <c r="H20" i="9"/>
  <c r="G20" i="9"/>
  <c r="K12" i="9"/>
  <c r="J12" i="9"/>
  <c r="I12" i="9"/>
  <c r="H12" i="9"/>
  <c r="G12" i="9"/>
  <c r="P12" i="9"/>
  <c r="O12" i="9"/>
  <c r="N12" i="9"/>
  <c r="M12" i="9"/>
  <c r="L12" i="9"/>
  <c r="U12" i="9"/>
  <c r="T12" i="9"/>
  <c r="S12" i="9"/>
  <c r="R12" i="9"/>
  <c r="U8" i="9"/>
  <c r="T8" i="9"/>
  <c r="S8" i="9"/>
  <c r="R8" i="9"/>
  <c r="Q8" i="9"/>
  <c r="P8" i="9"/>
  <c r="O8" i="9"/>
  <c r="N8" i="9"/>
  <c r="M8" i="9"/>
  <c r="K8" i="9"/>
  <c r="J8" i="9"/>
  <c r="I8" i="9"/>
  <c r="H8" i="9"/>
  <c r="G8" i="9"/>
  <c r="K4" i="9"/>
  <c r="J4" i="9"/>
  <c r="I4" i="9"/>
  <c r="H4" i="9"/>
  <c r="P4" i="9"/>
  <c r="O4" i="9"/>
  <c r="N4" i="9"/>
  <c r="M4" i="9"/>
  <c r="L4" i="9"/>
  <c r="U4" i="9"/>
  <c r="T4" i="9"/>
  <c r="S4" i="9"/>
  <c r="R4" i="9"/>
  <c r="Q38" i="9"/>
  <c r="F38" i="9"/>
  <c r="L38" i="9"/>
  <c r="Q37" i="9"/>
  <c r="L37" i="9"/>
  <c r="Q36" i="9"/>
  <c r="L36" i="9"/>
  <c r="L35" i="9"/>
  <c r="L31" i="9"/>
  <c r="L30" i="9"/>
  <c r="L29" i="9"/>
  <c r="L28" i="9"/>
  <c r="L27" i="9"/>
  <c r="L26" i="9"/>
  <c r="L25" i="9"/>
  <c r="L24" i="9"/>
  <c r="L23" i="9"/>
  <c r="L22" i="9"/>
  <c r="L21" i="9"/>
  <c r="L20" i="9"/>
  <c r="Q31" i="9"/>
  <c r="Q30" i="9"/>
  <c r="Q29" i="9"/>
  <c r="Q27" i="9"/>
  <c r="Q26" i="9"/>
  <c r="Q25" i="9"/>
  <c r="Q24" i="9"/>
  <c r="Q23" i="9"/>
  <c r="Q22" i="9"/>
  <c r="Q21" i="9"/>
  <c r="G7" i="9"/>
  <c r="G4" i="9"/>
  <c r="G6" i="9"/>
  <c r="G5" i="9"/>
  <c r="L11" i="9"/>
  <c r="L10" i="9"/>
  <c r="L8" i="9"/>
  <c r="L9" i="9"/>
  <c r="Q15" i="9"/>
  <c r="F15" i="9"/>
  <c r="Q14" i="9"/>
  <c r="F14" i="9"/>
  <c r="Q13" i="9"/>
  <c r="F13" i="9"/>
  <c r="F12" i="9"/>
  <c r="Q7" i="9"/>
  <c r="Q6" i="9"/>
  <c r="Q5" i="9"/>
  <c r="Q4" i="9"/>
  <c r="L73" i="9"/>
  <c r="F84" i="9"/>
  <c r="F81" i="9"/>
  <c r="L81" i="9"/>
  <c r="F83" i="9"/>
  <c r="F82" i="9"/>
  <c r="F79" i="9"/>
  <c r="F77" i="9"/>
  <c r="L77" i="9"/>
  <c r="F78" i="9"/>
  <c r="Q81" i="9"/>
  <c r="Q77" i="9"/>
  <c r="F76" i="9"/>
  <c r="Q74" i="9"/>
  <c r="S69" i="9"/>
  <c r="R69" i="9"/>
  <c r="Q72" i="9"/>
  <c r="F72" i="9"/>
  <c r="F71" i="9"/>
  <c r="F70" i="9"/>
  <c r="B50" i="9"/>
  <c r="F60" i="9"/>
  <c r="F51" i="9"/>
  <c r="F50" i="9"/>
  <c r="F59" i="9"/>
  <c r="F57" i="9"/>
  <c r="Q54" i="9"/>
  <c r="Q62" i="9"/>
  <c r="F56" i="9"/>
  <c r="F55" i="9"/>
  <c r="F63" i="9"/>
  <c r="F62" i="9"/>
  <c r="Q58" i="9"/>
  <c r="F52" i="9"/>
  <c r="L62" i="9"/>
  <c r="L58" i="9"/>
  <c r="L54" i="9"/>
  <c r="Q50" i="9"/>
  <c r="L50" i="9"/>
  <c r="Q43" i="9"/>
  <c r="F46" i="9"/>
  <c r="F37" i="9"/>
  <c r="F7" i="9"/>
  <c r="Q12" i="9"/>
  <c r="F44" i="9"/>
  <c r="F43" i="9"/>
  <c r="L43" i="9"/>
  <c r="Q39" i="9"/>
  <c r="F42" i="9"/>
  <c r="B38" i="9"/>
  <c r="F40" i="9"/>
  <c r="F41" i="9"/>
  <c r="L39" i="9"/>
  <c r="Q35" i="9"/>
  <c r="F36" i="9"/>
  <c r="F26" i="9"/>
  <c r="F31" i="9"/>
  <c r="F29" i="9"/>
  <c r="F25" i="9"/>
  <c r="F24" i="9"/>
  <c r="F23" i="9"/>
  <c r="F22" i="9"/>
  <c r="F27" i="9"/>
  <c r="F30" i="9"/>
  <c r="F21" i="9"/>
  <c r="F10" i="9"/>
  <c r="F11" i="9"/>
  <c r="F9" i="9"/>
  <c r="F8" i="9"/>
  <c r="F5" i="9"/>
  <c r="F4" i="9"/>
  <c r="F6" i="9"/>
  <c r="D44" i="2"/>
  <c r="E8" i="2"/>
  <c r="D48" i="2"/>
  <c r="D39" i="2"/>
  <c r="D38" i="2"/>
  <c r="D31" i="2"/>
  <c r="N40" i="2"/>
  <c r="N32" i="2"/>
  <c r="M40" i="2"/>
  <c r="M32" i="2"/>
  <c r="L40" i="2"/>
  <c r="L32" i="2"/>
  <c r="K40" i="2"/>
  <c r="K32" i="2"/>
  <c r="J40" i="2"/>
  <c r="I40" i="2"/>
  <c r="H40" i="2"/>
  <c r="H32" i="2"/>
  <c r="G40" i="2"/>
  <c r="G32" i="2"/>
  <c r="D47" i="2"/>
  <c r="D46" i="2"/>
  <c r="D43" i="2"/>
  <c r="D42" i="2"/>
  <c r="D41" i="2"/>
  <c r="D49" i="2"/>
  <c r="D37" i="2"/>
  <c r="D36" i="2"/>
  <c r="D35" i="2"/>
  <c r="D34" i="2"/>
  <c r="D33" i="2"/>
  <c r="D26" i="2"/>
  <c r="J32" i="2"/>
  <c r="I32" i="2"/>
  <c r="N23" i="2"/>
  <c r="M23" i="2"/>
  <c r="L23" i="2"/>
  <c r="K23" i="2"/>
  <c r="J23" i="2"/>
  <c r="I23" i="2"/>
  <c r="H23" i="2"/>
  <c r="G23" i="2"/>
  <c r="D30" i="2"/>
  <c r="D29" i="2"/>
  <c r="D28" i="2"/>
  <c r="D27" i="2"/>
  <c r="D25" i="2"/>
  <c r="D24" i="2"/>
  <c r="F9" i="8"/>
  <c r="F12" i="8"/>
  <c r="F11" i="8"/>
  <c r="F10" i="8"/>
  <c r="F8" i="8"/>
  <c r="D18" i="2"/>
  <c r="D21" i="2"/>
  <c r="D22" i="2"/>
  <c r="E5" i="2"/>
  <c r="E6" i="2"/>
  <c r="Q73" i="9"/>
  <c r="F74" i="9"/>
  <c r="F73" i="9"/>
  <c r="Q69" i="9"/>
  <c r="F69" i="9"/>
  <c r="F58" i="9"/>
  <c r="F54" i="9"/>
  <c r="F35" i="9"/>
  <c r="B36" i="9"/>
  <c r="B37" i="9"/>
  <c r="B7" i="9"/>
  <c r="F28" i="9"/>
  <c r="F20" i="9"/>
  <c r="F39" i="9"/>
  <c r="B23" i="9"/>
  <c r="B22" i="9"/>
  <c r="B21" i="9"/>
  <c r="B5" i="9"/>
  <c r="B6" i="9"/>
  <c r="D40" i="2"/>
  <c r="D23" i="2"/>
  <c r="E40" i="2"/>
  <c r="C9" i="4"/>
  <c r="C8" i="4"/>
  <c r="C7" i="4"/>
  <c r="C6" i="4"/>
  <c r="C5" i="4"/>
  <c r="C4" i="4"/>
  <c r="E22" i="2"/>
  <c r="E21" i="2"/>
  <c r="E19" i="2"/>
  <c r="E18" i="2"/>
  <c r="E11" i="2"/>
  <c r="E10" i="2"/>
  <c r="E9" i="2"/>
  <c r="E7" i="2"/>
  <c r="E4" i="2"/>
  <c r="E3" i="2"/>
  <c r="B35" i="9"/>
  <c r="B20" i="9"/>
  <c r="B4" i="9"/>
  <c r="D32" i="2"/>
  <c r="C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tc={E1C39E97-8D87-46B1-A6E4-B4F5F4C90A62}</author>
  </authors>
  <commentList>
    <comment ref="J6" authorId="0" shapeId="0" xr:uid="{E1C39E97-8D87-46B1-A6E4-B4F5F4C90A6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Ofrecimos validar base el día de presentación y luego con 4 directores. Al no funcionar debe nombrarse alguien por parte de Aktiva.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tc={C9DBEE33-8498-4B2B-B00B-6490E7C2A95B}</author>
    <author>tc={DAA99283-7272-4A7E-A6AA-17D745BB7D32}</author>
    <author>tc={52DB82C4-A320-4A72-8FC7-1A1A9FECBC37}</author>
  </authors>
  <commentList>
    <comment ref="G4" authorId="0" shapeId="0" xr:uid="{C9DBEE33-8498-4B2B-B00B-6490E7C2A95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Ya pagó un país, falta el otro. </t>
      </text>
    </comment>
    <comment ref="K6" authorId="1" shapeId="0" xr:uid="{DAA99283-7272-4A7E-A6AA-17D745BB7D32}">
      <text>
        <t>[Comentario encadenado]
Tu versión de Excel te permite leer este comentario encadenado; sin embargo, las ediciones que se apliquen se quitarán si el archivo se abre en una versión más reciente de Excel. Más información: https://go.microsoft.com/fwlink/?linkid=870924
Comentario:
    Entrega lunes 26-09 y sesión el viernes 30. Massi confirma y sino se corre entrega a 28-09.</t>
      </text>
    </comment>
    <comment ref="L6" authorId="2" shapeId="0" xr:uid="{52DB82C4-A320-4A72-8FC7-1A1A9FECBC37}">
      <text>
        <t>[Comentario encadenado]
Tu versión de Excel te permite leer este comentario encadenado; sin embargo, las ediciones que se apliquen se quitarán si el archivo se abre en una versión más reciente de Excel. Más información: https://go.microsoft.com/fwlink/?linkid=870924
Comentario:
    Excel dinámico pendiente, sólo se les envió el resumen para su presentación en JD. 
Respuesta:
    Se enviará miércoles 21-09.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tc={B1B12DC1-8B2F-CD45-91A9-03F600F9AA17}</author>
    <author>tc={A5971853-966D-4AD9-9C3F-3339A3112BAE}</author>
    <author>tc={26F381E4-8829-5A41-8F2A-F34EFC5270A5}</author>
    <author>tc={61D91CE0-C205-CB49-91E6-7B11FFBB42A2}</author>
    <author>tc={925AEE8D-5F7B-49C8-8C7A-5E7871171287}</author>
  </authors>
  <commentList>
    <comment ref="I23" authorId="0" shapeId="0" xr:uid="{B1B12DC1-8B2F-CD45-91A9-03F600F9AA17}">
      <text>
        <t>[Comentario encadenado]
Tu versión de Excel te permite leer este comentario encadenado; sin embargo, las ediciones que se apliquen se quitarán si el archivo se abre en una versión más reciente de Excel. Más información: https://go.microsoft.com/fwlink/?linkid=870924
Comentario:
    sistemas de benestar
otros proyectos de CI
mantener tableros de benestar tambn
BU de Dynamo
Indicadores Aktiva</t>
      </text>
    </comment>
    <comment ref="K23" authorId="1" shapeId="0" xr:uid="{A5971853-966D-4AD9-9C3F-3339A3112BA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Ahora con el proyecto de Aktiva Massi, aquí tu rol es más activo como project manager y líder estratégico. @Massiel Lopez </t>
      </text>
    </comment>
    <comment ref="D28" authorId="2" shapeId="0" xr:uid="{26F381E4-8829-5A41-8F2A-F34EFC5270A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Cerramos agilidad
Identificados pero no activados:  
Aktiva- Socios estratégicos
Benestar- Recompra
En proceso: 
Dynamo: Apoyo con Co living no entra bajo costo
Aktiva: Business Intelligence
</t>
      </text>
    </comment>
    <comment ref="I28" authorId="3" shapeId="0" xr:uid="{61D91CE0-C205-CB49-91E6-7B11FFBB42A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Potenciales candidatos: 
- QC: Proceso de kick off de proyectos
- QC: Plan de comunicación
- Benestar: A través de Investigación de Desarrollo de nuevo canal? Corporativo compartido con Sonrie?
Candidatos bajo asesoría:
- Benestar: Independencia de Canales
- Sonrie: Pendiente de ejercicio con Flor 
En proceso tendremos: 
- CI Agilidad
- BU de Aktiva 
- Dynamo Coliving
</t>
      </text>
    </comment>
    <comment ref="J29" authorId="4" shapeId="0" xr:uid="{925AEE8D-5F7B-49C8-8C7A-5E7871171287}">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@David Salazar Lao aqui tu contribuciones llevar ROA actualizado y cada vez con más y mejor data.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tc={3FB87B67-F79D-9740-93FA-834CE9AFDE71}</author>
    <author>tc={CE27BD21-0984-CF4C-A8CF-F698AAF2AC98}</author>
  </authors>
  <commentList>
    <comment ref="C26" authorId="0" shapeId="0" xr:uid="{3FB87B67-F79D-9740-93FA-834CE9AFDE71}">
      <text>
        <t>[Comentario encadenado]
Tu versión de Excel te permite leer este comentario encadenado; sin embargo, las ediciones que se apliquen se quitarán si el archivo se abre en una versión más reciente de Excel. Más información: https://go.microsoft.com/fwlink/?linkid=870924
Comentario:
    Este es nuevo!</t>
      </text>
    </comment>
    <comment ref="C41" authorId="1" shapeId="0" xr:uid="{CE27BD21-0984-CF4C-A8CF-F698AAF2AC98}">
      <text>
        <t>[Comentario encadenado]
Tu versión de Excel te permite leer este comentario encadenado; sin embargo, las ediciones que se apliquen se quitarán si el archivo se abre en una versión más reciente de Excel. Más información: https://go.microsoft.com/fwlink/?linkid=870924
Comentario:
    AGREGUÉ ESTA NUEVA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tc={5089B525-9365-443E-8A5C-CC91E8FABEF4}</author>
  </authors>
  <commentList>
    <comment ref="H10" authorId="0" shapeId="0" xr:uid="{5089B525-9365-443E-8A5C-CC91E8FABEF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Pendiente </t>
      </text>
    </comment>
  </commentList>
</comments>
</file>

<file path=xl/sharedStrings.xml><?xml version="1.0" encoding="utf-8"?>
<sst xmlns="http://schemas.openxmlformats.org/spreadsheetml/2006/main" count="2098" uniqueCount="620">
  <si>
    <t>Benestar</t>
  </si>
  <si>
    <t>AKTIVA</t>
  </si>
  <si>
    <t>Aktiva ventas mensuales de ene y feb</t>
  </si>
  <si>
    <t>SONRIE</t>
  </si>
  <si>
    <t>Enero</t>
  </si>
  <si>
    <t>s1</t>
  </si>
  <si>
    <t>s2</t>
  </si>
  <si>
    <t>s3</t>
  </si>
  <si>
    <t>s4</t>
  </si>
  <si>
    <t>Promedio</t>
  </si>
  <si>
    <t>Febrero</t>
  </si>
  <si>
    <t>Marzo</t>
  </si>
  <si>
    <t>NPS</t>
  </si>
  <si>
    <t>CONSOLIDADO</t>
  </si>
  <si>
    <t>T1</t>
  </si>
  <si>
    <t>T2</t>
  </si>
  <si>
    <t>T3</t>
  </si>
  <si>
    <t>T4</t>
  </si>
  <si>
    <t>Dynamo</t>
  </si>
  <si>
    <t>Clientes Oro</t>
  </si>
  <si>
    <t>Promotor</t>
  </si>
  <si>
    <t>Pasivo</t>
  </si>
  <si>
    <t>Detractor</t>
  </si>
  <si>
    <t>Workspace</t>
  </si>
  <si>
    <t>Renta</t>
  </si>
  <si>
    <t>Aktiva</t>
  </si>
  <si>
    <t>aktiva</t>
  </si>
  <si>
    <t>Soporte</t>
  </si>
  <si>
    <t>Comercial</t>
  </si>
  <si>
    <t>Cruz Verde</t>
  </si>
  <si>
    <t>Corporativo</t>
  </si>
  <si>
    <t>QC</t>
  </si>
  <si>
    <t>No compra</t>
  </si>
  <si>
    <t>Ejecución</t>
  </si>
  <si>
    <t>Entrega</t>
  </si>
  <si>
    <t>6M después</t>
  </si>
  <si>
    <t>Sonrie</t>
  </si>
  <si>
    <t>Px Nuevos</t>
  </si>
  <si>
    <t>Px RD</t>
  </si>
  <si>
    <t>PPTO</t>
  </si>
  <si>
    <t>Elemento</t>
  </si>
  <si>
    <t>Máximo</t>
  </si>
  <si>
    <t>Metas</t>
  </si>
  <si>
    <t>CI</t>
  </si>
  <si>
    <t>QM</t>
  </si>
  <si>
    <t>Sonríe</t>
  </si>
  <si>
    <t>Tablero de indicadores de equipo:  NPS</t>
  </si>
  <si>
    <t>Cantidad</t>
  </si>
  <si>
    <t>Realizadas</t>
  </si>
  <si>
    <t>% Alcance</t>
  </si>
  <si>
    <t>BENESTAR</t>
  </si>
  <si>
    <t>DYNAMO</t>
  </si>
  <si>
    <t>Planes de acción T4 2021 (por medición realizada)</t>
  </si>
  <si>
    <t>x</t>
  </si>
  <si>
    <t>Cobros cerrados de T4 2021 (por Cantidad de facturas)</t>
  </si>
  <si>
    <t>Propuestas entregadas (por Unidad)</t>
  </si>
  <si>
    <t>Propuestas entregadas (Reunión)</t>
  </si>
  <si>
    <t>Propuestas aceptadas (por Unidad)</t>
  </si>
  <si>
    <t>Investigación iniciada (por Unidad)</t>
  </si>
  <si>
    <t>Resultados entregados (por medición realizada)</t>
  </si>
  <si>
    <t>Planes de acción T1 2022 (por medición realizada)</t>
  </si>
  <si>
    <t>Proyectos e Investigaciones  T1</t>
  </si>
  <si>
    <t>Proyectos y tableros en pipeline </t>
  </si>
  <si>
    <t>FDC</t>
  </si>
  <si>
    <t>Proyecto: Propuestas en proceso T2</t>
  </si>
  <si>
    <t>Customer Journey (Por Unidad)</t>
  </si>
  <si>
    <t>2da versión Customer Journey (Por Unidad)</t>
  </si>
  <si>
    <t>Tableros</t>
  </si>
  <si>
    <t>Primera Reunion</t>
  </si>
  <si>
    <t>Iveth</t>
  </si>
  <si>
    <t>Lucia</t>
  </si>
  <si>
    <t>Ingrid</t>
  </si>
  <si>
    <t>Gabriel</t>
  </si>
  <si>
    <t>Jorge</t>
  </si>
  <si>
    <t>Johana</t>
  </si>
  <si>
    <t>Majito</t>
  </si>
  <si>
    <t>Robert</t>
  </si>
  <si>
    <t>En proceso</t>
  </si>
  <si>
    <t>Ivet/ cuadro de cuentas por cobrar</t>
  </si>
  <si>
    <t>Lucia / cuadro de oportunidades</t>
  </si>
  <si>
    <t>Ingrid / cuadro de proyeccion</t>
  </si>
  <si>
    <t>Jorge / Cambios Estudio de mercado</t>
  </si>
  <si>
    <t>Gabriel / Reporte Ejecutivo</t>
  </si>
  <si>
    <t>Indicadores de venta Aktiva</t>
  </si>
  <si>
    <t>Indicadores JD (Majito)</t>
  </si>
  <si>
    <t>Entregados</t>
  </si>
  <si>
    <t>Johana / Power Bi</t>
  </si>
  <si>
    <t>Jorge / Estudio de Mercado</t>
  </si>
  <si>
    <t>Iveth / Entrega de formato Estado de cuenta, Cuadro de ventas</t>
  </si>
  <si>
    <t>Agilidad</t>
  </si>
  <si>
    <t>Entregados con actualización</t>
  </si>
  <si>
    <t>Tableros NPS</t>
  </si>
  <si>
    <t>Tablero de NPS</t>
  </si>
  <si>
    <t>Planes de acción T1 2021 (por medición realizada)</t>
  </si>
  <si>
    <t>Cobros cerrados de T1 2021 (por Cantidad de facturas)</t>
  </si>
  <si>
    <t>NPS iniciada (por Unidad)</t>
  </si>
  <si>
    <t>Resultados entregados (por NPS realizada)</t>
  </si>
  <si>
    <t>Planes de acción T2 2022 (por NPS realizada)</t>
  </si>
  <si>
    <t>Tableros Unidadesde Negocio</t>
  </si>
  <si>
    <t>Entregado</t>
  </si>
  <si>
    <t>Actualizacion</t>
  </si>
  <si>
    <t>En Proceso</t>
  </si>
  <si>
    <t>Ejecucion Aktiva</t>
  </si>
  <si>
    <t>Planes de acción T2 2021 (por medición realizada)</t>
  </si>
  <si>
    <t>Cobros cerrados de T2 2021 (por Cantidad de facturas)</t>
  </si>
  <si>
    <t>3.5</t>
  </si>
  <si>
    <t>Planes de acción T3 2022 (por NPS realizada)</t>
  </si>
  <si>
    <t>5.5</t>
  </si>
  <si>
    <t>Proyecto: Propuestas en proceso T3</t>
  </si>
  <si>
    <t>3ra versión Customer Journey (Por Unidad)</t>
  </si>
  <si>
    <t>X</t>
  </si>
  <si>
    <t>Reporte</t>
  </si>
  <si>
    <t>Nuevo</t>
  </si>
  <si>
    <t>Solicitud</t>
  </si>
  <si>
    <t>Tipo</t>
  </si>
  <si>
    <t>Observaciones</t>
  </si>
  <si>
    <t>Reunion</t>
  </si>
  <si>
    <t>Borrador</t>
  </si>
  <si>
    <t>A1</t>
  </si>
  <si>
    <t>A2</t>
  </si>
  <si>
    <t>A3</t>
  </si>
  <si>
    <t>A4</t>
  </si>
  <si>
    <t>A5</t>
  </si>
  <si>
    <t>Entrega II</t>
  </si>
  <si>
    <t>Power BI - Socio Economico</t>
  </si>
  <si>
    <t>Johana Molina</t>
  </si>
  <si>
    <t>Tablero</t>
  </si>
  <si>
    <t>Actualizacion 1 vez por quincena</t>
  </si>
  <si>
    <t>Comportamiento Sornie</t>
  </si>
  <si>
    <t xml:space="preserve">Sindi </t>
  </si>
  <si>
    <t>Visitas Comerciales</t>
  </si>
  <si>
    <t>Tablero / Formulario</t>
  </si>
  <si>
    <t>Actualizacion automatica</t>
  </si>
  <si>
    <t>Estudio de mercado</t>
  </si>
  <si>
    <t>Jorge Galvez</t>
  </si>
  <si>
    <t>tablero</t>
  </si>
  <si>
    <t>Actualizacion Trimestral</t>
  </si>
  <si>
    <t>Reporte ejecutivo</t>
  </si>
  <si>
    <t>Gabriel Salguero</t>
  </si>
  <si>
    <t>Pendiente de seguimiento</t>
  </si>
  <si>
    <t>Indicadores Comerciales</t>
  </si>
  <si>
    <t>Cuadro de ventas por cobrar</t>
  </si>
  <si>
    <t>Estado de cuenta</t>
  </si>
  <si>
    <t>Formato</t>
  </si>
  <si>
    <t>Eduardo</t>
  </si>
  <si>
    <t>Pendiente de agendar</t>
  </si>
  <si>
    <t>Indicadores reunión JD</t>
  </si>
  <si>
    <t>Cuadro de oportunidades</t>
  </si>
  <si>
    <t>Cuadro de Proyeccion</t>
  </si>
  <si>
    <t>Finalizado</t>
  </si>
  <si>
    <t>Diana</t>
  </si>
  <si>
    <t>LA CIMA- METAS 2022 (QUÉ)</t>
  </si>
  <si>
    <t>CÓMO LLEGAMOS A LA CIMA</t>
  </si>
  <si>
    <t>CAMPAMENTO 1- T1 2022</t>
  </si>
  <si>
    <t>CÓMO</t>
  </si>
  <si>
    <t>Lao T1</t>
  </si>
  <si>
    <t>Massi T1</t>
  </si>
  <si>
    <t>Gaby T1</t>
  </si>
  <si>
    <t>CAMPAMENTO 2- T2 2022</t>
  </si>
  <si>
    <t>Lao T2</t>
  </si>
  <si>
    <t>Massi T2</t>
  </si>
  <si>
    <t>Gaby T2</t>
  </si>
  <si>
    <t>Que Necesito para cumplir mis objetivos LAO</t>
  </si>
  <si>
    <t>CAMPAMENTO 3- T3 2022</t>
  </si>
  <si>
    <t>CÓMO LLEGAMOS A CAMP 3</t>
  </si>
  <si>
    <t>Lao T3</t>
  </si>
  <si>
    <t>Massi T3</t>
  </si>
  <si>
    <t>Gaby T3</t>
  </si>
  <si>
    <t>CÓMO LLEGAMOS A CIMA</t>
  </si>
  <si>
    <t>Lao T4</t>
  </si>
  <si>
    <t>Massi T4</t>
  </si>
  <si>
    <t>Gaby T4</t>
  </si>
  <si>
    <t>Mediciones de NPS</t>
  </si>
  <si>
    <t>Correr las (cantidad) mediciones aprobadas del año de cada UN y entregar resultados en el tiempo acordado para 31 de dic 2022.</t>
  </si>
  <si>
    <t>Crear calendario y charter por empresa para aprobación, luego gestionar el proceso entre UN y proveedor para luego preparar análisis y enviarlo 1 semana antes de la presentación al equipo.</t>
  </si>
  <si>
    <t>Correr mediciones aprobadas de T1 y presentar resultado a tiempo para 31 de marzo 2022.</t>
  </si>
  <si>
    <t>CI: DB5, DB6, Altuna</t>
  </si>
  <si>
    <t>•	Contribución: 
o	Mantener los formatos de recepción listos.
o	Generar análisis de datos.
o	Generar Excel dinámico basado en las solicitudes de la unidad de negocio.
o	Auditar las llamadas generadas por el proveedor.
o	Apoyar al equipo en ppto e información necesitada</t>
  </si>
  <si>
    <t xml:space="preserve">Desarrollar y presentar de propuesta 2022 
-Generar rondas de seguimientos hasta tener aprobadas las mediciones 
-Mantener una correcta gestión de proveedores 
-Coordinar todas de mediciones </t>
  </si>
  <si>
    <t xml:space="preserve">Ofrecer despejes al equipo, velar por la calidad de análisis y del proceso, fomentar el cierre de loop de medición a acción. </t>
  </si>
  <si>
    <t>Correr mediciones aprobadas de T2 y presentar resultado a tiempo para 30 de junio 2022. Busqueda de solución que permita tener trazabilidad de los resultados obtenidos</t>
  </si>
  <si>
    <t xml:space="preserve"> -Entrega de todos los resultados previo al cierre del trimestre (dependiendo las cadencias ya establecidas)   
-Trabajar ficha de cliente relacional con histórico de comentarios</t>
  </si>
  <si>
    <t>Check list para construir criterios + input al inicio</t>
  </si>
  <si>
    <t>Massi: Alineación Con solicitudes puntuales. (mantener).
Gaby, Massi: Retroalimentación en ára de oportunidad en los exceles (Mantener)</t>
  </si>
  <si>
    <t>Entregar mediciones del trimestre según cronograma</t>
  </si>
  <si>
    <t>BBDD estructuradas y recepción anticipada
Trazabilidad
Intercalar entregas
Plantillas de PPT</t>
  </si>
  <si>
    <t xml:space="preserve">Trabajar en un formato tabular , para minimizar el tiempo invertido en la ppto de NPS, migrar a las UN (Sonríe , Benestar y QC) a BI. </t>
  </si>
  <si>
    <t>Trabajar planificación T3 con entregas escalonadas. Trabajar excel automatizado. Implementar controles de bases a través de alineaciones prácticas. Estandarización de status de llamadas. Creación de machotes ppt.</t>
  </si>
  <si>
    <t xml:space="preserve">Revisión de charters y propner mejoras
Sostener accountability en equipos y CEO para que se cumpla la medición en los tiempos acordados. </t>
  </si>
  <si>
    <t>Correr las (cantidad) mediciones aprobadas del año de cada UN y entregar resultados en el tiempo acordado para 31 de dic 2022. CONSIDERANDO QUE VIENEN PUNTOS DE TOQUE NUEVOS Y QUE TENEMOS 2 MESES EN VEZ DE 3 PORQUE DICIEMBRE NO CUENTA</t>
  </si>
  <si>
    <t>Trazabilidad de la bases de datos  CI, Aktiva
Migración a power Bi nps transaccionales</t>
  </si>
  <si>
    <t>Anticiparnos con KO: bases de datos, capacitación de proveedores, mejores métodos. Sesiones de despeje periódicas. Bases de datos proactivas.</t>
  </si>
  <si>
    <t xml:space="preserve">Apoyar con despejes con UN y al equipo para lograr mediciones en 2 meses. 
Independiencia total para mediciones ya conocidas y enfoque de revisión en las nuevas para mayor agilidad. </t>
  </si>
  <si>
    <t>QC: T1 (todos puntos de toque)</t>
  </si>
  <si>
    <t>https://365grupoentero.sharepoint.com/:x:/s/fascinaciondeclientes/EYtyeVnZuUlHobmpfk_Vg_kB7IBI4Ywz3SznJYDufqSYHQ?e=6qM69H</t>
  </si>
  <si>
    <t>QM: T1 (todos puntos de toque)</t>
  </si>
  <si>
    <t>Dynamo WS: Cierre comercial, no compra, recurrentes</t>
  </si>
  <si>
    <t>Benestar: Clientes nuevas, recompra, ecommerce</t>
  </si>
  <si>
    <t>Sonríe: No compra, Compra Q499-Q1,999, Compra arriba Q1,999</t>
  </si>
  <si>
    <t>Probar 4 nuevos modelos de mediciones cada trimestre (Nuevos indicadores, sistemas, metodologias, etc).</t>
  </si>
  <si>
    <t>Buscar constantemente nuevas y mejores prácticas y/o referencias. Probar al menos 1 al trimestre.</t>
  </si>
  <si>
    <t>Prueba piloto de medición híbrida para Benestar y Sonrie (llamadas y grabaciones) para 31 de marzo 2022.</t>
  </si>
  <si>
    <t>•	Contribución: 
o	Generar formatos para poder medir el modelo de medición del trimestre</t>
  </si>
  <si>
    <t>Trabajar la gestión correcta de prueba piloto
-Mantener la búsqueda constante de nuevas metodología</t>
  </si>
  <si>
    <t xml:space="preserve">Promover y dar input para experimentar midiendo el riesgo pero buscando siempre mejorar. </t>
  </si>
  <si>
    <t>Pruebas de omnicanalidad que nos permitan incrementar el alcance y disminuir tiempos</t>
  </si>
  <si>
    <t>Trabajar propuestas de automatización</t>
  </si>
  <si>
    <t xml:space="preserve"> -Implementar envíos de form by mail y explorar el 3er medio de omnicanalidad para T3</t>
  </si>
  <si>
    <t>Tocar base con Mariandre sobre sentiment analysis sobre transcripts</t>
  </si>
  <si>
    <t>Gaby, Massi : Validar si conocen cursos que nos puedan ayudar en automatizaciones y áreas de mejora en los tableros</t>
  </si>
  <si>
    <t>Customer Voice
Sonrie y Benestar con trazabilidad en BI
Trazabilidad para resto de UN</t>
  </si>
  <si>
    <t>Hacer piloto de Customer Voice
Trabajar BI</t>
  </si>
  <si>
    <t>Iniciar Trazabilidad a BI . prueba piloto , entrega T3</t>
  </si>
  <si>
    <t>Trabajar piloto de customer voice con info T2 como prueba. Investigar sobre mejores practicas de visualización BI. Trabajar alineación con Lao sobre avances de los resultados</t>
  </si>
  <si>
    <t xml:space="preserve">Aportar buenas prácticas de prototipo y MVP para lanzar pruebas con baja resolución y lograr implementar estas prácticas. Apoyar con negociaciones. </t>
  </si>
  <si>
    <t>Sumar Sentiment Analysis.</t>
  </si>
  <si>
    <t xml:space="preserve">Apoyar con asesoría y despejes a la implementación de Sentiment Analysis. (Massi)
</t>
  </si>
  <si>
    <t>Preparar y conseguir vobo de Charters para 2023</t>
  </si>
  <si>
    <t>Preparar charters para aprobación 2023. Validar puntos de toque.</t>
  </si>
  <si>
    <t>Input y despejes para dejar charters aprobados.</t>
  </si>
  <si>
    <t>Planes de acción</t>
  </si>
  <si>
    <t>Apoyar en la creación de un plan de acción por cada medición entregada de NPS a lo largo del año. (cantidad) para 31 de dic de 2022.</t>
  </si>
  <si>
    <t>El plan de acción se va crear en la sesión, pero si no fuera el caso se dará 15 días a la UN para presentarlo.</t>
  </si>
  <si>
    <t>Crear los planes de acción de las mediciones de T1 para 31 de marzo 2022.</t>
  </si>
  <si>
    <t>Buscar alineación con equipos para enviar información previo a la presentación y que se aproveche la sesión para discusión y planes de acción.</t>
  </si>
  <si>
    <t>•	Contribución: 
o	Acercamiento con las unidades de negocio (que lo soliciten) para generar formatos adecuados para los planes de acción.
o	Apoyar a los UN, que lo requieran en generar tableros de indicadores que demuestren el resultado del plan de acción. (Reclamos, % conversión, RD)</t>
  </si>
  <si>
    <t>Ser oportuno con la entrega de resultados para sumar valor en la creación de PDA</t>
  </si>
  <si>
    <t xml:space="preserve">Apalancar el rol de líder de JD para sostener accountability. 
Crear sistema para que las personas sepan accionar por su cuenta. </t>
  </si>
  <si>
    <t xml:space="preserve">Desarrollar el sistema de trazabilidad 2022, el mismo archivo copila los seguimientos </t>
  </si>
  <si>
    <t xml:space="preserve">Seguimiento y apoyo a Massi en los formatos para planes de Accion </t>
  </si>
  <si>
    <t xml:space="preserve"> -Brindar mejoras a la ejecución del PDA (herramientas) </t>
  </si>
  <si>
    <t>Dar seguimiento a los avances de PDA en comites de FDC. 
Apoyar en que se formen planes en formato SMART.</t>
  </si>
  <si>
    <t>Armar planes de acción previo al cierre del trimestre con entrega de resultados</t>
  </si>
  <si>
    <t xml:space="preserve">Enviando resultados previo a presentación, con sesión de discusión y planes previo al cierre del trim.
A más tardar el 15 del último mes del trim deben estar todos los resultados entregados.  </t>
  </si>
  <si>
    <t>Apoyar en los cierres de resultados para poder enviar los mismos antes del 15 del ultimo mes del trimestre</t>
  </si>
  <si>
    <t>Mantener dinámica de PDA en el desempaque de resultados. En UN con atrasos de ejecución, colocar celdas de contexto y acuerdos.</t>
  </si>
  <si>
    <t xml:space="preserve">Continuar con proceso de envío de información previa para realizar las metas en formato SMART con el equipo presente. Levantar documento de discusión como apoyo para generar contexto a los PDA. </t>
  </si>
  <si>
    <t>Trabajar nueva versión de plan 2023 (con columna de nueva fecha de entrega)</t>
  </si>
  <si>
    <t>Seguimientos periódicos a PDA de cada UdeN, agregar temas destacados en Comité y mails de seguimiento puntuales.</t>
  </si>
  <si>
    <t xml:space="preserve">Apoyar con buenas prácticas para creación de los planes. </t>
  </si>
  <si>
    <t>Pedirles que formulen dos o tres preguntas para el diálogo. Para que realmente lo entiendan.</t>
  </si>
  <si>
    <t>Dar follow up a los planes de acción generados por medición a lo largo del año.</t>
  </si>
  <si>
    <t>Durante los comités o si los comités quedan muy esporádicos, se harán sesiones de seguimiento específicos.</t>
  </si>
  <si>
    <t>Follow up a planes de acción de T4 2021 para 31 de marzo 2022.</t>
  </si>
  <si>
    <t>Mantener el seguimiento con cada UN para la ejecución de los planes establecidos</t>
  </si>
  <si>
    <t>Follow up a planes de acción de T1 2021 para 30 de junio 2022.</t>
  </si>
  <si>
    <t xml:space="preserve">Cerrar los planes de acción en el trimestre que corresponde. </t>
  </si>
  <si>
    <t>Sostener accountability
Revisar y comentar mensualmente sobre planes de acción
Agregar columna de referencia</t>
  </si>
  <si>
    <t>Revisar y comentar sobre los avances en los PDA.</t>
  </si>
  <si>
    <t xml:space="preserve">Hacer revisión del avance de PDA por comentarios al equipo y en comités para mantener accountability. </t>
  </si>
  <si>
    <t>Reunión de "aprendizajes" de PDA</t>
  </si>
  <si>
    <t>Reforzar en comités la revisión de avances en planes de acción.</t>
  </si>
  <si>
    <t>Customer Journey</t>
  </si>
  <si>
    <t>Construir los Customer Journey con el reloj de arena y las métricas de fascinación integrados por segmentos principales de cada UN. (cantidad) para 31 de dic 2022.</t>
  </si>
  <si>
    <t>Terminar el diagnóstico, apoyar a completar los CJ iniciales con el vobo de los CEOs.</t>
  </si>
  <si>
    <t>Apoyar en la construcción de la versión 1 (cantidad) de CJ para las siguientes UN: xxx para 31 de marzo 2022.</t>
  </si>
  <si>
    <t>Las versión 0 es el CJ como sea que se hace actualmente esté o no completo, sea intencional o no.</t>
  </si>
  <si>
    <t>Gestionar concepto, formatos, propuesta de lanzamiento 
-Brindar asesoría a cada UN sobre la visual del proyecto y apoyo con la herramienta
-Generar reuniones que sumen al correcto uso de las herramientas</t>
  </si>
  <si>
    <t>Definir directrices y diseño de proceso para levantamiento, análisis y seguimiento del CJ</t>
  </si>
  <si>
    <t xml:space="preserve">Definir el siguiente nivel con cada una de las  para 4 UN que ya iniciaron el proceso (Dynamo, QC, Benestar y Aktiva)
Tocar base con CI a ver si podemos empezar con algún líder específicamente. </t>
  </si>
  <si>
    <t>Llenar formato de ROA</t>
  </si>
  <si>
    <t xml:space="preserve"> -Actualizar las UN que estan recién trabajando el CJ, para brindar estrategias que mitiguen los cuellos de botella. -Trabajar versión enfocada a CJ ideal</t>
  </si>
  <si>
    <t xml:space="preserve">Dar input de la herramienta y su aplicación sobre todo a través de comites y talleres. 
Proveer herramientas y facilitación para avanzar en el proceso con las UN. </t>
  </si>
  <si>
    <t>Validar traslado de la información de otra manera. Para minimizar el tiempo invertido</t>
  </si>
  <si>
    <t>Construir CJ 2.0 en cada UN 
Construir CJ 1.0 en CI</t>
  </si>
  <si>
    <t>Integrar ciertas métricas al CJ para que vean relación
Accountability  a nivel de comités
Facilitar talleres de seguimiento</t>
  </si>
  <si>
    <t>Trabajar sesiones o talleres para dar continuidad al CJ. Integrar data indicadores.</t>
  </si>
  <si>
    <t>Buscar nuevas herramientas para continuar explorando con nuevas perspectivas el CJ. 
Armar taller 2.0.</t>
  </si>
  <si>
    <t>Integrar métricas con CJ</t>
  </si>
  <si>
    <t xml:space="preserve">Unir el CJ con métricas con FDC  (Dynamo WS). Preparación de taller con nfásis en J2BD, </t>
  </si>
  <si>
    <t>Input a siguiente taller de CJ con enfoque en J2BD.</t>
  </si>
  <si>
    <t>Identificar los responsables de CJ en cada UN.</t>
  </si>
  <si>
    <t>La versión 1 es trasladar el CJ como está actualmente al machote de CJ,  pero completando todos los rubros.</t>
  </si>
  <si>
    <t>Apoyar en la identificación de los cuellos de botella y en la generación de planes de mejora contínua que permitan desembocarlos a lo largo del año.</t>
  </si>
  <si>
    <t>Para identificar cuellos de botella usaremos los indicadores de fascinación y modelos prescriptivos de diferentes escenarios.</t>
  </si>
  <si>
    <t>Apoyar en la identificación de los potenciales cuellos de botella de los CJ que están en versión 1 y apoyar en la creación de planes para desembocarlos para 31 de marzo 2022.</t>
  </si>
  <si>
    <t>Por definir.</t>
  </si>
  <si>
    <t>Establecer las experiencia del CJ HOY y CJ IDEAL para identificar cuellos de botella a trabajar</t>
  </si>
  <si>
    <t>Inducir herramientas de Innovación y gestión de negocios para identificar y buscar soluciones a nivel de mejora continua e innovación</t>
  </si>
  <si>
    <t>Apoyar en la identificación de los potenciales cuellos de botella de los CJ que están en versión 1 y apoyar en la creación de planes para desembocarlos para 30 de junio 2022.</t>
  </si>
  <si>
    <t>N/A</t>
  </si>
  <si>
    <t xml:space="preserve"> -Establecer las experiencia del CJ HOY y CJ IDEAL para identificar cuellos de botella a trabajar y dar seguimiento a cuellos de botella identificados</t>
  </si>
  <si>
    <t xml:space="preserve">Integrar herramientas de análisis de cuellos de botella, de influencer, y otros que puedan apoyar este proceso. </t>
  </si>
  <si>
    <t>Sostener avances en despejes de cuellos de botella</t>
  </si>
  <si>
    <t>Cruces de información con PDA  de NPS
Brindar formatos para mejor monitoreo de avances
Accountability  a nivel de comités</t>
  </si>
  <si>
    <t>Dar seguimiento en Comité sobre los avances. Investigar durante las sesiones de Comité sobre nuevos cuellos de botella.</t>
  </si>
  <si>
    <t xml:space="preserve">Sostener accountability en comités sobre los avances en cuello de botella y resofrzar en revisiones a entregables de JD. </t>
  </si>
  <si>
    <t>Seguimientos en comité sobre cuellos de botella.</t>
  </si>
  <si>
    <t xml:space="preserve">Reforzar en comités la revisión de avances de proyectos derivados al análisis de cuellos de botella. </t>
  </si>
  <si>
    <t>Para los planes usaremos herramientas de innovación, AB testing, etc.</t>
  </si>
  <si>
    <t>Follow up a la implementación de esos planes según cronograma acordado para 31 de marzo 2022.</t>
  </si>
  <si>
    <t>Follow up a la implementación de esos planes según cronograma acordado para 30 de junio 2022</t>
  </si>
  <si>
    <t>Métricas de fascinación</t>
  </si>
  <si>
    <t>Construir el Dashboard completo de FDC y actualizado mensualmente para 31 de dic 2022.</t>
  </si>
  <si>
    <t>Empezar a integrar las métricas que ya se tengan. Las que aún no se tengan, buscar cómo empezar a levantarlas. Ir integrando lo que se tenga al CJ.</t>
  </si>
  <si>
    <t>Consolidar el Dashboard versión 1 con indicadores en amarillo con actualización mensual para 31 de marzo 2022.</t>
  </si>
  <si>
    <t>Identificar quién y dónde está la información para empezar a armar el tablero.</t>
  </si>
  <si>
    <t xml:space="preserve">•	Contribución: 
o	Recolectar información para los indicadores 2022.
o	Identificar con las UN como se puede obtener dicha información
o	Mantener actualizado cada trimestre, o mensualmente los indicadores  </t>
  </si>
  <si>
    <t>Sumar constantemente conocimiento, nuevas propuestas que permitan utilizar constantemente la herramienta</t>
  </si>
  <si>
    <t>Ser promotor, facilitar y conectar a las personas, despejar y coordinar entre departamentos, unidades, corp.</t>
  </si>
  <si>
    <t>Consolidar el Dashboard versión 1 con indicadores en amarillo con actualización mensual para 30 de abril 2022.</t>
  </si>
  <si>
    <t>apoyar a Gaby en el desarrollo de los mismos , a travez de Majito</t>
  </si>
  <si>
    <t>Promover el CJ con realación al NPS</t>
  </si>
  <si>
    <t xml:space="preserve">Facilitar la obtencion de data con Lao y promover la correlacion con NPS. 
Monitorear y trasladar los datos de JD hacia ROA de FDC con apoyo de Lao. </t>
  </si>
  <si>
    <t>Tener al 90% para Sonrie, Benestar  Aktiva y CI</t>
  </si>
  <si>
    <t>Presionar a nivel de comité
Buscar tener acceso directo
Apoyar cerrar con las brechas de BI</t>
  </si>
  <si>
    <t>Realizar un cambio de informacion de ROA , Adecuado a cada UN</t>
  </si>
  <si>
    <t>Presionar a través del CJ la información de los indicadores.</t>
  </si>
  <si>
    <t xml:space="preserve">Apoyar en despejes de IT y equipos internos. Continuar con revisión mensual sobre avance de información con Lao y luego equipos. </t>
  </si>
  <si>
    <t>Establecer un nuevo formato para medicion de metricas de FDC , llevar al depto a Power BI</t>
  </si>
  <si>
    <t>Gestionar en los comités sobre métricas en el CJ</t>
  </si>
  <si>
    <t>Reforzar en comités el levantamiento de estos datos para poder extraerlos con mayor frecuencia e idealmente desde el sistema. 2022 retroactivo.</t>
  </si>
  <si>
    <t>Business Intelligence</t>
  </si>
  <si>
    <t>Desarrollar 30 nuevos tableros para equipos o colaboradores de UN y Of corpo (Sonrie no aplica) para 31 de dic 2022.</t>
  </si>
  <si>
    <t>Para crear los primeros cimientos del data center (data correcta en el momento correcto para la persona correcta para toma de mejores decisiones y creación de valor) se realizará una estrategia de hormiga de ir tablero por tablero, al menos 1 tablero por UN (contando a Of Corpo).</t>
  </si>
  <si>
    <t>Desarrollar 8 tableros para equipos o colaboradores de UN y Of corpo para 31 de marzo 2022.</t>
  </si>
  <si>
    <t>Iniciar conversaciones con los involucrados, hacer pruebas.</t>
  </si>
  <si>
    <t xml:space="preserve"> 	Acercamientos con las UN para muestra de indicadores potenciales
 	Buscar nuevas metodologías para indicadores
 	Presentar análisis de información, solicitada o nueva
 	Comprender las necesidades y los tiempos de entrega
 	Presentar tiempos de entrega acordes a cada trabajo
 	Identificar nuevas oportunidades en los indicadores actuales
</t>
  </si>
  <si>
    <t>Apoyar con ideas, despejes o propuestas de proyecto que sumen a la meta de tableros</t>
  </si>
  <si>
    <t>Conseguir nuevos clientes e ir diseñando la conexión de los sistemas para mayor fluidez de data</t>
  </si>
  <si>
    <t>Convertir en proyectos de business intelligence  cobrables a Dynamo, benestar, aktiva y CI con desarrollo</t>
  </si>
  <si>
    <t xml:space="preserve">Finalizar al cierre del Trimestre , un X % de avance en los indicadores de Aktiva, al mismo tiempo finalizar el diagnostico de Aktiva. </t>
  </si>
  <si>
    <t>Apoyar como PM en seguimiento y despejes a requerir; empatar el día a día con el fin en mente del proyecto</t>
  </si>
  <si>
    <t>Promover consciencia y valor de tener data clara y fluida para una mejor toma de decisiones en el momento correcto. 
Promover proyectos de BI en las UN, sobretodo usando Aktiva como Insignia y Sonrie como pioneros.</t>
  </si>
  <si>
    <t>--</t>
  </si>
  <si>
    <t xml:space="preserve">Lograr el avance proyectado en proyecto de Aktiva
Lanzar brazo de servicio de BI </t>
  </si>
  <si>
    <t>Seguir con plan y alineación con coyotes e interna
Clientes para BI: Benestar, Dynamo, CI</t>
  </si>
  <si>
    <t>Dar seguimiento al proyecto con cada uno de los involucrados. Acompañar a reuniones que puedan sumar valor.</t>
  </si>
  <si>
    <t xml:space="preserve">Mantener accountability interno así como en participación con sesiones con Robert de rendición de cuentas. </t>
  </si>
  <si>
    <t>Alcanzar un 50% de avance en Bi Aktiva, Generando el cierre de partidas contables y ERP.</t>
  </si>
  <si>
    <t xml:space="preserve">Apoyo en gestión de tiempos y proyectos. Apoyar con estrategias de acercamiento a personas claves. Trabajar logistica de como alinear to do (gestión y reportería)  Apoyo en cerrar proyectos. https://365grupoentero.sharepoint.com/:x:/s/fascinaciondeclientes/EeEaFIguKKROsBn273B_p6QB_MJ3mb4ToEcp-Z9WfVVwTA?e=8XcPja </t>
  </si>
  <si>
    <t>Apoyar en despejes con uso del sistema y captación de datos en base a buenas prácticas y reducir curva de aprendizaje. Apoyo en cerrar proyectos.</t>
  </si>
  <si>
    <t>Dar mantenimiento o actualización de forma recurrente a los tableros creados según cronograma (Sonrie no aplica) en cada UN para 31 de dic 2022.</t>
  </si>
  <si>
    <t>Dar mantenimiento o actualización de forma recurrente a los tableros creados según cronograma para 31 de marzo 2022.</t>
  </si>
  <si>
    <t>Construir calendario de mantenimiento y actualizaciones.</t>
  </si>
  <si>
    <t>Dar mantenimiento o actualización de forma recurrente a los tableros creados según cronograma para 30 de junio 2022 ya bajo un cobro mutuamente acordado</t>
  </si>
  <si>
    <t>Definir planes de mantenimiento para proyectos de CI, Dynamo</t>
  </si>
  <si>
    <t>Para los proyectos de mantenimiento</t>
  </si>
  <si>
    <t xml:space="preserve">Colaborar en solicitudes a las UN que lo requieran . Benestar, Dynamo, Corporativo </t>
  </si>
  <si>
    <t>Presentar propuesta de BI, generar necesidades de información.</t>
  </si>
  <si>
    <t>Apoyar con cerrar estas negociaciones.</t>
  </si>
  <si>
    <t>Consultar con UdeN sobre los tableros trabajados.</t>
  </si>
  <si>
    <t>Criterio: Si un tablero requiere de nuevos indicadores y requiere de más de un día, ya cuenta como un nuevo tablero.</t>
  </si>
  <si>
    <t>CONVERTIR PROYECTOS PEQUEÑOS ESTE AÑO Y CONSEGUIR NUEVOS PARA 2023 (Campaña de marketing, de educación, trabajo de hormiga, etc etc)</t>
  </si>
  <si>
    <t>Revisar propuesta y aportar en la ejecución.</t>
  </si>
  <si>
    <t>Presentar propuesta  https://365grupoentero.sharepoint.com/:p:/s/fascinaciondeclientes/EbkDk6jlylhAsTHYHMvbSEUBhIFoGe7IPi51tsTRhPwRQA?e=9A2IJC</t>
  </si>
  <si>
    <t xml:space="preserve">Input y participación en iniciativas que se definan como equipo. </t>
  </si>
  <si>
    <t>Proyectos/ Investigación</t>
  </si>
  <si>
    <t>Ejecutar 6 proyectos relacionados a FDC para 31 de dic 2022.</t>
  </si>
  <si>
    <t>Apróx. 1.5 proyectos al trimestre.</t>
  </si>
  <si>
    <t>Vender 2 proyectos y llevar al día el avance de ejecución según cronograma para 31 de marzo 2022.</t>
  </si>
  <si>
    <t>Utilizar el CJ y los planes de acción para extraer opciones de proyecto.</t>
  </si>
  <si>
    <t>Seguimiento a UN para identificar oportunidades de proyectos</t>
  </si>
  <si>
    <t>Aportar conocimiento de Project management, buenas prácticas y ejecución</t>
  </si>
  <si>
    <t>Vender 1 proyecto y llevar al día el avance de ejecución según cronograma para 30 de junio 2022.</t>
  </si>
  <si>
    <t xml:space="preserve"> -Seguimiento a UN para identificar oportunidades de proyectos</t>
  </si>
  <si>
    <t xml:space="preserve">Buscar activamente en qué oportunidades podemos apoyar y contribuir a la generación de propuestas y seguimiento. </t>
  </si>
  <si>
    <t xml:space="preserve">Buscar oportunidades para ofrecer proyectos. </t>
  </si>
  <si>
    <t>Identificar a través de Comité y talleres de CJ oportunidades de proyectos.</t>
  </si>
  <si>
    <t xml:space="preserve">Promover cerrar negocio de BI con Benestar. Confirmar meta de proyectos. </t>
  </si>
  <si>
    <t>Ejecutar 6 proyectos relacionados a FDC para 31 de dic 2022.
Llevamos aprobado: Aktiva. 
Pendiente: Benestar y Dynamo.</t>
  </si>
  <si>
    <t>Generar sentido de necesidad tomando en cuenta Aktiva para otras UN</t>
  </si>
  <si>
    <t>Gestionar en los comités sobre apoyo de FDC, acercamiento directo.</t>
  </si>
  <si>
    <t>Identificar oportunidades de proyecto para proponer.</t>
  </si>
  <si>
    <t>Comités de FDC</t>
  </si>
  <si>
    <t>Facilitar las sesiones de comités como elemento estructural para canalizar: NPS y sus planes de acción, Monitoreo de métricas de FDC, Compromisos de JD y entregables a presentar en JD de FDC.</t>
  </si>
  <si>
    <t>Validar cadencia e involucrados.</t>
  </si>
  <si>
    <t>Coordinar y facilitar los comités según la cadencia acordada.</t>
  </si>
  <si>
    <t>Dar seguimiento a las propuestas de cada comité; velar por mantener propuestas que generen valor. 
-Apoyar en aterrizar ideas en propuestas de proyecto ejecutables</t>
  </si>
  <si>
    <t>Coordinar y facilitar las sesiones de Comité así como velar por los entregables a JD y dar seguimiento a los compromisos que salgan relacionados a FDC</t>
  </si>
  <si>
    <t>Coordinar, liderar y fungir como apoyo y auditor en las sesiones de comité para velar por que se cumplan los entregables y se use la data proactivamente.</t>
  </si>
  <si>
    <t>Continuar con programación de comité</t>
  </si>
  <si>
    <t>Reenviar la minuta, recordar compromisos y enviar agenda  previo a la sesión.
Retomar comités con Dynamo.</t>
  </si>
  <si>
    <t>Implementar mayor comunicación post comité, incentivar a que la UN se preparé con la información a trabajar.</t>
  </si>
  <si>
    <t>Seguimiento mensual a través de agendas, gestión de seguimientos y control de PDA</t>
  </si>
  <si>
    <t>Facilitar sesiones de comités con cadencia mensual en todas las unidades de negocio.</t>
  </si>
  <si>
    <t>Facilitar las sesiones llevando una agenda clara, usando el canal de teams como repositorio de información, así como para comunicación del foro y minutas y el planner como sistema de seguimiento de compromisos.</t>
  </si>
  <si>
    <t>Interno</t>
  </si>
  <si>
    <t>Crecimiento interno FDC: ¿Cómo podemos fortalecer la interdependencia entre cada uno?</t>
  </si>
  <si>
    <t>Mejorar el tema de comunicación de necesidades.
Mejorar los tiempos de entrega , tomando en cuenta prioridades.
Reuniones de alineación para establer áreas de mejora</t>
  </si>
  <si>
    <t xml:space="preserve"> -Comunicación clara y planificación de actividades con avances</t>
  </si>
  <si>
    <t xml:space="preserve">Investigar sobre los principios de Holocrazy y cómo integrarlos al equipo. </t>
  </si>
  <si>
    <t>Buscar constantemente oportunidades de mejora</t>
  </si>
  <si>
    <t xml:space="preserve">Implementar más elementos de holocracy y buscar oportunidades de avances elementos dentro del funnel de conocimiento </t>
  </si>
  <si>
    <t>Brindar formatos que puedan demostrar los beneficios del Holocracy</t>
  </si>
  <si>
    <t>Brindar curiosidad en las UN para generar más confianza. Incrementar el deseo de implementar nuevas prácticas de automatización.</t>
  </si>
  <si>
    <t xml:space="preserve">identificar e implementar nuevos principios de holocrazy </t>
  </si>
  <si>
    <t>Evaluación sobre T2 2022/ Kick Off T3 2022</t>
  </si>
  <si>
    <t>Paso 1</t>
  </si>
  <si>
    <t>Leer artículo de Radical Candor</t>
  </si>
  <si>
    <t>https://review.firstround.com/radical-candor-the-surprising-secret-to-being-a-good-boss</t>
  </si>
  <si>
    <t>Ver video de Non Violent Communication</t>
  </si>
  <si>
    <t xml:space="preserve">https://www.youtube.com/watch?v=INdKgBPEI-8 </t>
  </si>
  <si>
    <t>Ver resultados de encuestas realizadas principalmente en T2</t>
  </si>
  <si>
    <t>NPS con sesión</t>
  </si>
  <si>
    <t>NPS solo enviados</t>
  </si>
  <si>
    <t>Tableros generados</t>
  </si>
  <si>
    <t>Talleres facilitados</t>
  </si>
  <si>
    <t>Paso 2</t>
  </si>
  <si>
    <t xml:space="preserve">Tomando en cuenta lo identificado en Paso 1 y tu propia experiencia: Completar el siguiente tablero siendo brutalmente honesto con mentalidad de aportar una retroalimentación constructiva. Piensa en todos los servicios que ofrecemos: NPS; Auditoría a JD, Métricas, Bi, Customer Journey, Proyectos pero también a nivel de equipo y cómo operamos. </t>
  </si>
  <si>
    <t>Qué hicimos bien que debemos seguir haciendo?</t>
  </si>
  <si>
    <t>Qué hicimos mal y debemos dejar de hacer?</t>
  </si>
  <si>
    <t>Qué podemos hacer diferente para lograr las metas más efectivamente?</t>
  </si>
  <si>
    <t>¿Qué te emociona de T3 y empezar la segunda parte del año?</t>
  </si>
  <si>
    <t>¿Qué te preocupa de T3 y empezar la segunda parte del año?</t>
  </si>
  <si>
    <t>Lao</t>
  </si>
  <si>
    <t>° Tablero de Planificacion de NPS (brinda alertas oporturnas de semanas cargadas y nos permite planificar mejor)
° Mayor frecuencia en Alienaciones (Esto permitio un doble trabajo, una mejor efectividad en la entrega de la reporteria y exactitud)
° Permitir cambios en las estructuras de los reportes (mientras mas NPS realizamos la informacion debe ser trabajada de distinta manera, mas tablas comprativas, con menor graficas)
° Apoyo presentado en las ppto y Excel Dinamicos</t>
  </si>
  <si>
    <t xml:space="preserve">* Bases de datos, ser muy permisibles con las UN (Sin estructura, Tarde, repetidos)
* Despejes con Proveedores (Continuar con la Base de llamas si se tiene un despeje de una o dos personas)
* Actualizacion de llamadas con mayor frecuencia </t>
  </si>
  <si>
    <t>* Mantener un solo archivo con todas las bases de datos recibidas de las UN . (Sonrie, Benestar y QC)
* Solicitar a Carol que porfavor continue con las llamadas apesar de tener despejes no deterla para no atrasar el resultado ni acortar el tiempo planificado para los reportes 
* Validar los tiempos de entregas de los NPS y el proyecto de BI
* Mejorar los tiempos de entrega a las UN (BI)</t>
  </si>
  <si>
    <t>La presencia que se tiene en las distintas UN del grupo</t>
  </si>
  <si>
    <t xml:space="preserve">Tiempo </t>
  </si>
  <si>
    <t>Massi</t>
  </si>
  <si>
    <t>Anticiparnos a fechas de cierre, nuevos canales de llamadas, mejoras visuales en tableros y gráficas, mayor comunicación y alineación, ¿creación de forms?</t>
  </si>
  <si>
    <t>Recepción de bases tardías, correr con resultados última quincena. Faltas de ortografía y redacción.</t>
  </si>
  <si>
    <t>Solicitar bases previo al inicio del trimestre. Información en BI</t>
  </si>
  <si>
    <t>El tiempo pasa rápido y se aprende cada día; seguir evolucionando, saliendo de la zona segura</t>
  </si>
  <si>
    <t>6 proyectos para 2022</t>
  </si>
  <si>
    <t>Gaby</t>
  </si>
  <si>
    <t>Trazabilidad ya lista para replicarse
Mejor control de las bases y ejercicio de patrones
Mayor dominio de la industria de cada empresa
Alta colaboración y alineación constante en el equipo
Mindset de aprendizaje y generar valor.
Mejor tracking y medicion de nuestro servicio</t>
  </si>
  <si>
    <t xml:space="preserve">Recepción de bases tarde y falta de verificación, no asumir. 
No anticipar trabajo o proceso previo a cuando ya se juntan varias entregas
Exigir  una contraparte responsable para la buena ejecución de proyectos. 
Tener errores ya recurrentes sobretodo a nivel de NPS. </t>
  </si>
  <si>
    <t>Consolidar criterios, buenas prácticas, mayor uso de herramientas de auto gestión
Manejar mejor entregas a final de trimestre, que estén más escalonadas
Seguir buscando sobre el concepto de customer journey para seguir apoyando a los clientes
Buscar migrar a power bi</t>
  </si>
  <si>
    <t xml:space="preserve">Ya se ven los avances y resultados de mejores prácticas, más estructura y mejor seguimiento. Ahora podemos cosechar si seguimos así y llegar al siguiente nivel de mayor análisis y cruce de herramientas. 
Mayor uso de check list para validación de calidad de presentaciones. 
Me emociona equipo comprometido, que con ganas de aprender ya maneja los conceptos de FDC, los vive y promueve </t>
  </si>
  <si>
    <t xml:space="preserve">Bi, que empiece a ser más absorbente y afecta el resto de servicios. </t>
  </si>
  <si>
    <t>Gaby: Hablar con IT para mayor flexibilidad con Lao.</t>
  </si>
  <si>
    <t>Paso 3</t>
  </si>
  <si>
    <t>Construir propuesta para campamento T3. En base a lo que todos propongan, lo discutiremos y definimos juntos la versión final a pasar a la pestaña del CÓMO</t>
  </si>
  <si>
    <t>CIMA AL FINAL DE 2022</t>
  </si>
  <si>
    <t>Propuesta Lao</t>
  </si>
  <si>
    <t>Propuesta Massi</t>
  </si>
  <si>
    <t>Propuesta Gaby</t>
  </si>
  <si>
    <t>Qué</t>
  </si>
  <si>
    <t>Cómo</t>
  </si>
  <si>
    <t xml:space="preserve">BD estructuradas con historicos.
Trazabilidad de todos las UN 
Mejorar las entregas de NPS </t>
  </si>
  <si>
    <t>Anticiparnos en recepción de bases, desarrollo de patrones en la marcha de la medición, tener listas plantillas de ppt</t>
  </si>
  <si>
    <t>Entregar las mediciones del trimestre empezando desde el inicio del último mes del trimestre.</t>
  </si>
  <si>
    <t xml:space="preserve">BBDD estructuradas y recepción anticipada
Trazabilidad
Intercalar entregas
Plantillas de PPT
</t>
  </si>
  <si>
    <t>Migrar la Trazabilidad de Sonrie y Benestar a BI</t>
  </si>
  <si>
    <t>Implementación de Customer Voice</t>
  </si>
  <si>
    <t>customer voice, mejorar canal de encuesta vía forms, visualización de resultados en BI</t>
  </si>
  <si>
    <t xml:space="preserve">Hacer piloto de Customer Voice
Trabajar BI
</t>
  </si>
  <si>
    <t>Brindar apoyo en formatos y/o Tableros que se llegaran a necesitar</t>
  </si>
  <si>
    <t>Mantener el formato de plan de acción "vivo", agregar pestaña de contexto y comentarios</t>
  </si>
  <si>
    <t>Continuar con un archivo de Plan de acción para alinear todas las mediciones y lograr sesión luego de entrega de resultados para ver sus avances pero también nuevos planes de acción según se necesiten.</t>
  </si>
  <si>
    <t xml:space="preserve">Armar planes de acción previo al cierre del trimestre con entrega de resultados
</t>
  </si>
  <si>
    <t>Brindar herramientas de apoyo para cumplir con los PDA, reuniones de comité con agenda previa a la reunión</t>
  </si>
  <si>
    <t xml:space="preserve">Dar seguimiento en comités y cada vez de forma virtual. Dejar comentarios y hacer follow ups es clave para que sí avancen. </t>
  </si>
  <si>
    <t>Validar la unificacion de KPI con las distintas etapas del CJ</t>
  </si>
  <si>
    <t>Mantener talleres o sesiones de CJ, reforzar en comité la importancia de la herramienta, ofrecer a través de BI las métricas correspondientes</t>
  </si>
  <si>
    <t>Continuar refinamiento de customer journey</t>
  </si>
  <si>
    <t>Cruces de información de mediciones pasadas vs PDA (Caso Sonríe) para validar lo trabajado vs los resultados</t>
  </si>
  <si>
    <t xml:space="preserve">Dar seguimiento a iniciativas arrancadas así como a nuevos planes relacionados a despejar cuellos de botella. </t>
  </si>
  <si>
    <t>Generar un Tablero amigable adpatado a cada UN para la unificacion de la información</t>
  </si>
  <si>
    <t>Comentar durante los comités la información pendiente, validar en las reuniones de seguimiento con la UN</t>
  </si>
  <si>
    <t>Continuar con creación del dashboard así como pedir la data a las UN</t>
  </si>
  <si>
    <t>Seguir generando tableros de apoyo a las distintas UN, adicional al proyecto de BI Aktiva</t>
  </si>
  <si>
    <t xml:space="preserve">Lanzar proyecto de BI, posicionar el termino data driven en las UN </t>
  </si>
  <si>
    <t>Lanzar proyecto de BI en aktiva pero en menor escala en el resto de empresas</t>
  </si>
  <si>
    <t>Brindar una frecuencia de apoyo a las UN que lo requieran con el mantenimiento y actualizacion de sus tableros informativos</t>
  </si>
  <si>
    <t>Reforzar con el CJ que las métricas se encuentren actualizadas</t>
  </si>
  <si>
    <t>Definir plan de mantenimiento, frecuenca</t>
  </si>
  <si>
    <t>Evaluar el CJ para identificar proyectos: Dynamo WS + Benestar + CI (retomar).</t>
  </si>
  <si>
    <t>6 proyectos medianos o 3 grandes tipo Aktiva BI</t>
  </si>
  <si>
    <t>GM: Revisar cantidad de proyectos que necesitamos</t>
  </si>
  <si>
    <t>Trabajar estructura previo a comité, generar reuniones uno a uno posterior a comité para generar avances. ¿temas a validar previo a la reunión?</t>
  </si>
  <si>
    <t xml:space="preserve">Continuar con comités mensuales con cada UN </t>
  </si>
  <si>
    <t>Paso 4</t>
  </si>
  <si>
    <t>Ver el siguiente video sobre Holocracy</t>
  </si>
  <si>
    <t>https://youtu.be/0FmKsDf_CnI</t>
  </si>
  <si>
    <t>Paso 5</t>
  </si>
  <si>
    <t>En base al video responder a las siguientes preguntas</t>
  </si>
  <si>
    <t>¿Qué aprendiste del concepto de Holocracy?</t>
  </si>
  <si>
    <t xml:space="preserve">¿Consideras que ya implementamos ciertos elementos? Si sí cuáles y sino comenta por qué. </t>
  </si>
  <si>
    <t>¿Cuáles crees que podemos adoptar y poner en práctica para T3?</t>
  </si>
  <si>
    <t>Empodera al Equipo en sus distintas funciones</t>
  </si>
  <si>
    <t>Si, Empoderamiento, responsabilidad sobre nuestras acciones y toma de decisiones a nuestro criterio siempre y cuando no se perjudique el resultado</t>
  </si>
  <si>
    <t>Cuesta adaptar este concepto al inicio</t>
  </si>
  <si>
    <t>Somos libres de mejorar nuestro día a día conforme nosotros consideremos mejor se adapten: reuniones, métodos "Libertad y responsabilidad"</t>
  </si>
  <si>
    <t>Propuesta de ideación</t>
  </si>
  <si>
    <t>Reconoce el aporte de todos, segmenta por roles y no por jerarquía</t>
  </si>
  <si>
    <t>Apertura a comentar, aportar y debatir vs recibir órdenes. 
Alto grado de libertad con responsablidad en toma de decisiones. 
Activamente buscar y cuestionar para la mejora continua</t>
  </si>
  <si>
    <t>Conocer más del concepto y beneficios
Lanzar un mini piloto con elementos que sintamos generan valor de Holocracy</t>
  </si>
  <si>
    <t>Evaluación sobre T3 2022/ Kick Off T4 y Cierre 2022</t>
  </si>
  <si>
    <t>Leer artículo de Job to be done</t>
  </si>
  <si>
    <t xml:space="preserve">https://rockcontent.com/es/blog/jobs-to-be-done/ </t>
  </si>
  <si>
    <t>Ver video sobre The Good Profit</t>
  </si>
  <si>
    <t xml:space="preserve">https://youtu.be/JfgYNofytzI </t>
  </si>
  <si>
    <t>¿Qué te emociona de T4 y del cierre del año?</t>
  </si>
  <si>
    <t>¿Qué te preocupa de T4 y cierre del año?</t>
  </si>
  <si>
    <t>Trazabilidad de Patrones, mejora en tiempos de entrega de NPS</t>
  </si>
  <si>
    <t>Falta de Conocimientos en temas de sistema, Mejorar planes de accion para BI</t>
  </si>
  <si>
    <t>BI: Trabajar empatia + tableros (Se mantiene la informacion fresca y se puede prevenir cualquier tipo de atraso)</t>
  </si>
  <si>
    <t xml:space="preserve">Haber logrado al menos que una unidad de negocio se encaminara al BI </t>
  </si>
  <si>
    <t xml:space="preserve">Tiempo, retrasos en Aktiva, entregables de NPS </t>
  </si>
  <si>
    <t>Automatización en resultados, debrief con soluciones, procesos claros.</t>
  </si>
  <si>
    <t>Cumplimiento de entregables atrasados BI. Sobrecargar con expectativas.</t>
  </si>
  <si>
    <t>Seguir implementando nuevas maneras de trabajar (personalmente me reta)</t>
  </si>
  <si>
    <t>Cerrar el año con crecimiento en servicios, resultados, confianza. Iniciar 2023 con más información y conocimiento.</t>
  </si>
  <si>
    <t>Solo tenemos 2 meses para trabajar.</t>
  </si>
  <si>
    <t>Cumplimiento de tiempos, sistematizar procesos repetitivos y más operativos, mejor comunicación con involucrados clave, mayor empatía, mejor trazabilidad y mejor conocimiento de industria que ayuda a mejor análisis de los resultados. Eliminar problemas pequeños como ortografía. Mejor alineación con proveedores. Buen manejo de proyectos. Lanzamiento de BI oficial.</t>
  </si>
  <si>
    <t>Cargar los monkeys de alguien más. 
Sobre valorar el quedar bien.
No practicar suficiente escucha activa y empatía</t>
  </si>
  <si>
    <t>Maximizar uso de Power BI
Continuar reforzando sistematización de lo más operativo
No aceptar status quo
Agresividad comercial, reforzar propuesta de valor</t>
  </si>
  <si>
    <t xml:space="preserve">Consolidación mediciones de NPS luego de 1 año. 
Trazabilidad y automatizaciones. 
Fortalecer BI
Nuevos proyectos para cerrar y nuevo año. 
</t>
  </si>
  <si>
    <t>Imprevistos
Tiempos restringidos
Impacto cultural de la data en operación</t>
  </si>
  <si>
    <t>Construir propuesta para campamento T4. En base a lo que todos propongan, lo discutiremos y definimos juntos la versión final a pasar a la pestaña del CÓMO</t>
  </si>
  <si>
    <t>Ver el siguiente video sobre Organizaciones Teal</t>
  </si>
  <si>
    <t xml:space="preserve">https://youtu.be/2rUbNSDLfxY </t>
  </si>
  <si>
    <t>Y sobre cómo poder aplicar en nuestros procesos con los equipos</t>
  </si>
  <si>
    <t xml:space="preserve">https://youtu.be/1apybXngK14 </t>
  </si>
  <si>
    <t>En base a los recursos anteriores, responder a las siguientes preguntas</t>
  </si>
  <si>
    <t>¿Qué aprendiste del concepto Organizaciones Teal?</t>
  </si>
  <si>
    <t>¿Qué podemos reforzar o iniciar como Equipo en base a estas prácticas que nos ayuden a cerrar el año con todo?</t>
  </si>
  <si>
    <t>¿Qué podemos reforzar o iniciar en los procesos con las UN?</t>
  </si>
  <si>
    <t xml:space="preserve">Que cualquier UN, Depto o bien grupo de trabajo puede generar valor y aportacion desde su pespectiva de trabajo </t>
  </si>
  <si>
    <t>Implementacion de las mejores practicas aprendidas en el 2022 e intentar evolucionarlas para el cierre del T4</t>
  </si>
  <si>
    <t xml:space="preserve">Ejemplificar las buenas practicas, polinización cruzada de buenas practivas </t>
  </si>
  <si>
    <t>Evolución constante, adaptabilidad, AUTOGESTIÓN</t>
  </si>
  <si>
    <t>Identificar las mejores practicas y la manera en la que cada uno puede aportar</t>
  </si>
  <si>
    <t>Fin en mente y todos aportar a ese fin</t>
  </si>
  <si>
    <t xml:space="preserve">No todas las empresas son Teal, ni tampoco todos los equipos. </t>
  </si>
  <si>
    <t>Empoderamiento,  interdependencia, más agilidad y proactividad</t>
  </si>
  <si>
    <t>Matriz de involucrados, roles y comunicación ¿Cómo lo identificamos? ¿Cómo lo reconocemos y trabajamos acorde? ¿Cómo lo fortalecemos?</t>
  </si>
  <si>
    <t>UdN</t>
  </si>
  <si>
    <t>% DE RE-COMPRA</t>
  </si>
  <si>
    <t>el % de clientes que recompran en un periodo determinado</t>
  </si>
  <si>
    <t>% REFERIDOS</t>
  </si>
  <si>
    <t>el % de clientes que han sido referidos por clientes existentes por período</t>
  </si>
  <si>
    <t>Suspect</t>
  </si>
  <si>
    <t>% CONVERSIÓN</t>
  </si>
  <si>
    <t>de todos los leads, el % de personas que compraron en un período establecido</t>
  </si>
  <si>
    <t>Prospect</t>
  </si>
  <si>
    <t>% NET REVENUE RETENTION</t>
  </si>
  <si>
    <t>el % de ingresos retenidos por clientes existentes durante un período de tiempo específico. $$</t>
  </si>
  <si>
    <t>Lead</t>
  </si>
  <si>
    <t>% NET GROWTH RATE (adquiridos)</t>
  </si>
  <si>
    <t>% de crecimiento ingresos de clientes nuevos por periodo $$</t>
  </si>
  <si>
    <t>Try</t>
  </si>
  <si>
    <t>CAC</t>
  </si>
  <si>
    <t>costo de adquisición de un cliente tomando en cuenta los gastos operativos directamente relacionados.</t>
  </si>
  <si>
    <t>Client</t>
  </si>
  <si>
    <t>CV</t>
  </si>
  <si>
    <t>el valor monetario total de un cliente</t>
  </si>
  <si>
    <t>Recompra</t>
  </si>
  <si>
    <t>CLTV</t>
  </si>
  <si>
    <t>el valor monetario promedio del cliente en el período de tiempo como cliente activo</t>
  </si>
  <si>
    <t>índice de probabilidad que un cliente recomiende la empresa</t>
  </si>
  <si>
    <t>CES</t>
  </si>
  <si>
    <t>% de esfuerzo de un cliente para resolver un problema o navegar un proceso.</t>
  </si>
  <si>
    <t>CSAT</t>
  </si>
  <si>
    <t>% de satisfacción del cliente por un servicio, producto o proceso</t>
  </si>
  <si>
    <t>SSO</t>
  </si>
  <si>
    <t>% de cumplimiento según la percepción del cliente sobre los procesos de salud y seguridad ocupacional</t>
  </si>
  <si>
    <t>Trimestre I 2026: Reporte de Avance- Alineación Semanal de FDC</t>
  </si>
  <si>
    <t>Sistema Comité de FDC</t>
  </si>
  <si>
    <t>Meta</t>
  </si>
  <si>
    <t>Progreso</t>
  </si>
  <si>
    <t>CI GT</t>
  </si>
  <si>
    <t>CI SV</t>
  </si>
  <si>
    <t>QC GT</t>
  </si>
  <si>
    <t>QC SV</t>
  </si>
  <si>
    <t>DYNAMO WS</t>
  </si>
  <si>
    <t>DYNAM RE</t>
  </si>
  <si>
    <t>Notas</t>
  </si>
  <si>
    <t>Sesiones de Trabajo</t>
  </si>
  <si>
    <t>Otras sesiones (alineaciones, despejes, etc.)</t>
  </si>
  <si>
    <t>Medición de FDC</t>
  </si>
  <si>
    <t>Planes de acción T4 2025 (Inicia marzo)</t>
  </si>
  <si>
    <t>Descarga de bases de datos del mes anterior</t>
  </si>
  <si>
    <t>Confirmación de bases del mes</t>
  </si>
  <si>
    <t>Medición de FDC Iniciada (interna o externa)</t>
  </si>
  <si>
    <t>Respuestas a la fecha en Power BI (15 dias)</t>
  </si>
  <si>
    <t>Entrega de Resultados / Envío de Detractores</t>
  </si>
  <si>
    <t>Business Intelligence (BI)</t>
  </si>
  <si>
    <t>Ordenar bases de datos según requerimientos de JD</t>
  </si>
  <si>
    <t>Levantar un tablero de indicadores de FDC por UdN</t>
  </si>
  <si>
    <t>Finalizar implementación de dashboards de SENTO</t>
  </si>
  <si>
    <t>Tareas Operativas</t>
  </si>
  <si>
    <t>Facturación comisiones</t>
  </si>
  <si>
    <t>Facturación llamadas</t>
  </si>
  <si>
    <t>Recepción facturas proveedores T4 2025</t>
  </si>
  <si>
    <t>Planes de acción T4 2025</t>
  </si>
  <si>
    <t>Facturación comisiones diciembre y enero</t>
  </si>
  <si>
    <t>Sesiones de Trabajo 60-90 min</t>
  </si>
  <si>
    <t>Otras sesiones 30-60 min max (alineaciones, despejes, etc.)</t>
  </si>
  <si>
    <t>Comites y planes de acción</t>
  </si>
  <si>
    <t>Kick-off auditoria base de datos</t>
  </si>
  <si>
    <t>Kick-off auditoria de cumplimiento (CI)</t>
  </si>
  <si>
    <t>KIck-off auditoria de CAC</t>
  </si>
  <si>
    <t>Planes de acción T1 2026</t>
  </si>
  <si>
    <t>Facturación comisiones febrero</t>
  </si>
  <si>
    <t xml:space="preserve">Recepción facturas proveedores </t>
  </si>
  <si>
    <t>Facturación comisiones marzo</t>
  </si>
  <si>
    <t>Sesión de auditoria base de datos</t>
  </si>
  <si>
    <t>Sesión de auditoria de cumplimiento (CI)</t>
  </si>
  <si>
    <t>Sesión de auditoria de CAC</t>
  </si>
  <si>
    <t>Planes de acción </t>
  </si>
  <si>
    <t>Facturación comisiones marzo/abril</t>
  </si>
  <si>
    <t>Revisión</t>
  </si>
  <si>
    <t>Recepción PDA</t>
  </si>
  <si>
    <t>Aprobación PDA</t>
  </si>
  <si>
    <t>Tablero de indicadores de equipo: </t>
  </si>
  <si>
    <t> T4 PDA</t>
  </si>
  <si>
    <t>Seguimiento</t>
  </si>
  <si>
    <t>Recepción</t>
  </si>
  <si>
    <t>Aprobación</t>
  </si>
  <si>
    <t>Avances reunión</t>
  </si>
  <si>
    <t>Evaluación con operaciones</t>
  </si>
  <si>
    <t>ok cuellos de botella</t>
  </si>
  <si>
    <t>Facturación comisiones abril</t>
  </si>
  <si>
    <t>QR</t>
  </si>
  <si>
    <t>PROVEEDORES QCP</t>
  </si>
  <si>
    <t>Facturación comisiones junio</t>
  </si>
  <si>
    <t>Trimestre 3 2026: Reporte de Avance- Alineación Semanal de FDC</t>
  </si>
  <si>
    <t>Comité</t>
  </si>
  <si>
    <t>QCP GT</t>
  </si>
  <si>
    <t>QCP-SV</t>
  </si>
  <si>
    <t>Planes de acción T2 2025</t>
  </si>
  <si>
    <t>Facturación comisiones Julio</t>
  </si>
  <si>
    <t>Trimestre I 2025: Reporte de Avance- Alineación Semanal de FDC</t>
  </si>
  <si>
    <t>Planes de acción T2 2026</t>
  </si>
  <si>
    <t>Facturación comisiones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</si>
</sst>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
  </numFmts>
  <fonts count="3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0"/>
      <color theme="1"/>
      <name val="Calibri"/>
      <family val="2"/>
      <scheme val="minor"/>
    </font>
    <font>
      <sz val="8"/>
      <color theme="1"/>
      <name val="Calibri"/>
      <family val="2"/>
      <scheme val="minor"/>
    </font>
    <font>
      <sz val="12"/>
      <color theme="1"/>
      <name val="Calibri Light"/>
      <family val="2"/>
    </font>
    <font>
      <b/>
      <sz val="12"/>
      <color theme="1"/>
      <name val="Calibri Light"/>
      <family val="2"/>
    </font>
    <font>
      <b/>
      <sz val="11"/>
      <color theme="0"/>
      <name val="Calibri"/>
      <family val="2"/>
      <scheme val="minor"/>
    </font>
    <font>
      <u/>
      <sz val="11"/>
      <color theme="10"/>
      <name val="Calibri"/>
      <family val="2"/>
      <scheme val="minor"/>
    </font>
    <font>
      <sz val="11"/>
      <color rgb="FFFF0000"/>
      <name val="Calibri"/>
      <family val="2"/>
      <scheme val="minor"/>
    </font>
    <font>
      <sz val="11"/>
      <color rgb="FF9C5700"/>
      <name val="Calibri"/>
      <family val="2"/>
      <scheme val="minor"/>
    </font>
    <font>
      <sz val="11"/>
      <color rgb="FF006100"/>
      <name val="Calibri"/>
      <family val="2"/>
      <scheme val="minor"/>
    </font>
    <font>
      <sz val="11"/>
      <color rgb="FF9C0006"/>
      <name val="Calibri"/>
      <family val="2"/>
      <scheme val="minor"/>
    </font>
    <font>
      <sz val="9"/>
      <color rgb="FF006100"/>
      <name val="Calibri"/>
      <family val="2"/>
      <scheme val="minor"/>
    </font>
    <font>
      <sz val="9"/>
      <color rgb="FF9C5700"/>
      <name val="Calibri"/>
      <family val="2"/>
      <scheme val="minor"/>
    </font>
    <font>
      <sz val="9"/>
      <color rgb="FF9C0006"/>
      <name val="Calibri"/>
      <family val="2"/>
      <scheme val="minor"/>
    </font>
    <font>
      <sz val="11"/>
      <color rgb="FFFFFF00"/>
      <name val="Calibri"/>
      <family val="2"/>
      <scheme val="minor"/>
    </font>
    <font>
      <sz val="12"/>
      <color rgb="FFFF0000"/>
      <name val="Calibri Light"/>
      <family val="2"/>
    </font>
    <font>
      <sz val="12"/>
      <color rgb="FF000000"/>
      <name val="Calibri Light"/>
      <family val="2"/>
    </font>
    <font>
      <sz val="12"/>
      <color rgb="FF000000"/>
      <name val="Calibri"/>
      <family val="2"/>
      <scheme val="minor"/>
    </font>
    <font>
      <b/>
      <sz val="12"/>
      <color rgb="FF000000"/>
      <name val="Calibri Light"/>
      <family val="2"/>
    </font>
    <font>
      <b/>
      <sz val="14"/>
      <color theme="1"/>
      <name val="Calibri"/>
      <family val="2"/>
      <scheme val="minor"/>
    </font>
    <font>
      <sz val="11"/>
      <color rgb="FF000000"/>
      <name val="Calibri"/>
      <family val="2"/>
      <scheme val="minor"/>
    </font>
    <font>
      <sz val="11"/>
      <color rgb="FF4472C4"/>
      <name val="Calibri"/>
      <family val="2"/>
      <scheme val="minor"/>
    </font>
    <font>
      <sz val="11"/>
      <name val="Calibri"/>
      <family val="2"/>
      <scheme val="minor"/>
    </font>
    <font>
      <sz val="12"/>
      <color theme="4"/>
      <name val="Calibri Light"/>
      <family val="2"/>
    </font>
    <font>
      <sz val="11"/>
      <color theme="4"/>
      <name val="Calibri"/>
      <family val="2"/>
      <scheme val="minor"/>
    </font>
    <font>
      <sz val="11"/>
      <color rgb="FF000000"/>
      <name val="Calibri"/>
      <family val="2"/>
    </font>
    <font>
      <sz val="9"/>
      <color rgb="FF000000"/>
      <name val="Calibri"/>
      <family val="2"/>
    </font>
    <font>
      <b/>
      <sz val="11"/>
      <color rgb="FF000000"/>
      <name val="Calibri"/>
      <family val="2"/>
    </font>
    <font>
      <sz val="14"/>
      <color theme="1"/>
      <name val="Calibri"/>
      <family val="2"/>
      <scheme val="minor"/>
    </font>
    <font>
      <u/>
      <sz val="11"/>
      <color indexed="12"/>
      <name val="Arial"/>
      <family val="2"/>
    </font>
  </fonts>
  <fills count="30">
    <fill>
      <patternFill patternType="none"/>
    </fill>
    <fill>
      <patternFill patternType="gray125"/>
    </fill>
    <fill>
      <patternFill patternType="solid">
        <fgColor theme="1" tint="4.9989318521683403E-2"/>
        <bgColor indexed="64"/>
      </patternFill>
    </fill>
    <fill>
      <patternFill patternType="solid">
        <fgColor theme="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7" tint="0.59999389629810485"/>
        <bgColor indexed="64"/>
      </patternFill>
    </fill>
    <fill>
      <patternFill patternType="solid">
        <fgColor rgb="FFD9D9D9"/>
        <bgColor indexed="64"/>
      </patternFill>
    </fill>
    <fill>
      <patternFill patternType="solid">
        <fgColor rgb="FFFF0000"/>
        <bgColor indexed="64"/>
      </patternFill>
    </fill>
    <fill>
      <patternFill patternType="solid">
        <fgColor rgb="FFFFEB9C"/>
      </patternFill>
    </fill>
    <fill>
      <patternFill patternType="solid">
        <fgColor rgb="FFC6EFCE"/>
      </patternFill>
    </fill>
    <fill>
      <patternFill patternType="solid">
        <fgColor rgb="FFFFC7CE"/>
      </patternFill>
    </fill>
    <fill>
      <patternFill patternType="solid">
        <fgColor theme="7" tint="-0.49998474074526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3" tint="-0.499984740745262"/>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4B084"/>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ACB9CA"/>
        <bgColor indexed="64"/>
      </patternFill>
    </fill>
    <fill>
      <patternFill patternType="solid">
        <fgColor rgb="FFFFE699"/>
        <bgColor indexed="64"/>
      </patternFill>
    </fill>
    <fill>
      <patternFill patternType="solid">
        <fgColor rgb="FFFFFFFF"/>
        <bgColor indexed="64"/>
      </patternFill>
    </fill>
    <fill>
      <patternFill patternType="solid">
        <fgColor theme="0"/>
        <bgColor indexed="64"/>
      </patternFill>
    </fill>
    <fill>
      <patternFill patternType="solid">
        <fgColor rgb="FFFFFFFF"/>
        <bgColor rgb="FF000000"/>
      </patternFill>
    </fill>
    <fill>
      <patternFill patternType="solid">
        <fgColor rgb="FFFCE4D6"/>
        <bgColor rgb="FF000000"/>
      </patternFill>
    </fill>
  </fills>
  <borders count="27">
    <border>
      <left/>
      <right/>
      <top/>
      <bottom/>
      <diagonal/>
    </border>
    <border>
      <left/>
      <right/>
      <top/>
      <bottom style="double">
        <color indexed="64"/>
      </bottom>
      <diagonal/>
    </border>
    <border>
      <left style="hair">
        <color indexed="64"/>
      </left>
      <right style="hair">
        <color indexed="64"/>
      </right>
      <top style="hair">
        <color indexed="64"/>
      </top>
      <bottom style="hair">
        <color indexed="64"/>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
      <left style="medium">
        <color rgb="FFA3A3A3"/>
      </left>
      <right style="medium">
        <color rgb="FFA3A3A3"/>
      </right>
      <top/>
      <bottom/>
      <diagonal/>
    </border>
    <border>
      <left style="medium">
        <color rgb="FFA3A3A3"/>
      </left>
      <right style="medium">
        <color rgb="FFA3A3A3"/>
      </right>
      <top/>
      <bottom style="medium">
        <color rgb="FFA3A3A3"/>
      </bottom>
      <diagonal/>
    </border>
    <border>
      <left/>
      <right/>
      <top style="hair">
        <color indexed="64"/>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double">
        <color rgb="FF000000"/>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theme="0" tint="-0.14996795556505021"/>
      </top>
      <bottom style="medium">
        <color theme="0" tint="-0.14996795556505021"/>
      </bottom>
      <diagonal/>
    </border>
  </borders>
  <cellStyleXfs count="13">
    <xf numFmtId="0" fontId="0" fillId="0" borderId="0"/>
    <xf numFmtId="9" fontId="1" fillId="0" borderId="0" applyFont="0" applyFill="0" applyBorder="0" applyAlignment="0" applyProtection="0"/>
    <xf numFmtId="0" fontId="12" fillId="10"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0" fillId="0" borderId="0" applyNumberFormat="0" applyFill="0" applyBorder="0" applyAlignment="0" applyProtection="0"/>
    <xf numFmtId="0" fontId="3" fillId="0" borderId="0"/>
    <xf numFmtId="0" fontId="32" fillId="0" borderId="0" applyNumberFormat="0" applyFill="0" applyProtection="0">
      <alignment vertical="top"/>
    </xf>
    <xf numFmtId="0" fontId="1" fillId="0" borderId="0" applyNumberFormat="0" applyFill="0" applyProtection="0">
      <alignment horizontal="right" indent="1"/>
    </xf>
    <xf numFmtId="0" fontId="1" fillId="0" borderId="26" applyFill="0">
      <alignment horizontal="center" vertical="center"/>
    </xf>
    <xf numFmtId="0" fontId="1" fillId="0" borderId="26" applyFill="0">
      <alignment horizontal="left" vertical="center" indent="2"/>
    </xf>
    <xf numFmtId="164" fontId="1" fillId="0" borderId="26" applyFill="0">
      <alignment horizontal="center" vertical="center"/>
    </xf>
    <xf numFmtId="0" fontId="33" fillId="0" borderId="0" applyNumberFormat="0" applyFill="0" applyBorder="0" applyAlignment="0" applyProtection="0">
      <alignment vertical="top"/>
      <protection locked="0"/>
    </xf>
  </cellStyleXfs>
  <cellXfs count="199">
    <xf numFmtId="0" fontId="0" fillId="0" borderId="0" xfId="0"/>
    <xf numFmtId="0" fontId="0" fillId="0" borderId="9" xfId="0" applyBorder="1" applyAlignment="1">
      <alignment horizontal="center" vertical="center"/>
    </xf>
    <xf numFmtId="0" fontId="4" fillId="0" borderId="0" xfId="0" applyFont="1"/>
    <xf numFmtId="0" fontId="2" fillId="0" borderId="1" xfId="0" applyFont="1" applyBorder="1"/>
    <xf numFmtId="0" fontId="5" fillId="0" borderId="0" xfId="0" applyFont="1"/>
    <xf numFmtId="0" fontId="0" fillId="0" borderId="2" xfId="0" applyBorder="1"/>
    <xf numFmtId="9" fontId="5" fillId="3" borderId="2" xfId="1" applyFont="1" applyFill="1" applyBorder="1"/>
    <xf numFmtId="0" fontId="7" fillId="0" borderId="0" xfId="0" applyFont="1" applyAlignment="1">
      <alignment horizontal="left" vertical="center"/>
    </xf>
    <xf numFmtId="0" fontId="4" fillId="0" borderId="0" xfId="0" applyFont="1" applyAlignment="1">
      <alignment horizontal="left" vertical="center" indent="1" readingOrder="1"/>
    </xf>
    <xf numFmtId="0" fontId="4" fillId="0" borderId="0" xfId="0" applyFont="1" applyAlignment="1">
      <alignment horizontal="left" vertical="center" indent="2" readingOrder="1"/>
    </xf>
    <xf numFmtId="0" fontId="8" fillId="0" borderId="1" xfId="0" applyFont="1" applyBorder="1" applyAlignment="1">
      <alignment horizontal="left" vertical="center"/>
    </xf>
    <xf numFmtId="0" fontId="0" fillId="0" borderId="0" xfId="0" applyAlignment="1">
      <alignment horizontal="center" vertical="center"/>
    </xf>
    <xf numFmtId="0" fontId="6" fillId="4" borderId="2" xfId="0" applyFont="1" applyFill="1" applyBorder="1" applyAlignment="1">
      <alignment horizontal="center" vertical="center"/>
    </xf>
    <xf numFmtId="0" fontId="0" fillId="0" borderId="2" xfId="0" applyBorder="1" applyAlignment="1">
      <alignment horizontal="center" vertical="center"/>
    </xf>
    <xf numFmtId="0" fontId="9" fillId="6" borderId="0" xfId="0" applyFont="1" applyFill="1" applyAlignment="1">
      <alignment horizontal="center"/>
    </xf>
    <xf numFmtId="9" fontId="0" fillId="0" borderId="0" xfId="0" applyNumberFormat="1"/>
    <xf numFmtId="9" fontId="0" fillId="0" borderId="0" xfId="1" applyFont="1"/>
    <xf numFmtId="0" fontId="0" fillId="0" borderId="0" xfId="0" applyAlignment="1">
      <alignment wrapText="1"/>
    </xf>
    <xf numFmtId="0" fontId="9" fillId="2" borderId="3" xfId="0" applyFont="1" applyFill="1" applyBorder="1" applyAlignment="1">
      <alignment vertical="center" wrapText="1"/>
    </xf>
    <xf numFmtId="0" fontId="0" fillId="2" borderId="3" xfId="0" applyFill="1" applyBorder="1" applyAlignment="1">
      <alignment vertical="center" wrapText="1"/>
    </xf>
    <xf numFmtId="0" fontId="0" fillId="5" borderId="4" xfId="0" applyFill="1" applyBorder="1" applyAlignment="1">
      <alignment vertical="center" wrapText="1"/>
    </xf>
    <xf numFmtId="0" fontId="0" fillId="5" borderId="5" xfId="0" applyFill="1" applyBorder="1" applyAlignment="1">
      <alignment vertical="center" wrapText="1"/>
    </xf>
    <xf numFmtId="0" fontId="10" fillId="5" borderId="5" xfId="5" applyFill="1" applyBorder="1" applyAlignment="1">
      <alignment vertical="center" wrapText="1"/>
    </xf>
    <xf numFmtId="0" fontId="0" fillId="5" borderId="5" xfId="0" applyFill="1" applyBorder="1" applyAlignment="1">
      <alignment vertical="top" wrapText="1"/>
    </xf>
    <xf numFmtId="0" fontId="0" fillId="5" borderId="6" xfId="0" applyFill="1" applyBorder="1" applyAlignment="1">
      <alignment vertical="top" wrapText="1"/>
    </xf>
    <xf numFmtId="0" fontId="0" fillId="5" borderId="6" xfId="0" applyFill="1" applyBorder="1" applyAlignment="1">
      <alignment vertical="center" wrapText="1"/>
    </xf>
    <xf numFmtId="0" fontId="0" fillId="5" borderId="3" xfId="0" applyFill="1"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3" xfId="0" applyBorder="1" applyAlignment="1">
      <alignment vertical="center" wrapText="1"/>
    </xf>
    <xf numFmtId="0" fontId="0" fillId="5" borderId="3" xfId="0" applyFill="1" applyBorder="1" applyAlignment="1">
      <alignment horizontal="left" vertical="center" wrapText="1"/>
    </xf>
    <xf numFmtId="0" fontId="0" fillId="0" borderId="2" xfId="0" applyBorder="1" applyAlignment="1">
      <alignment horizontal="center"/>
    </xf>
    <xf numFmtId="9" fontId="5" fillId="3" borderId="2" xfId="1" applyFont="1" applyFill="1" applyBorder="1" applyAlignment="1">
      <alignment horizontal="center"/>
    </xf>
    <xf numFmtId="0" fontId="0" fillId="7" borderId="2" xfId="0" applyFill="1" applyBorder="1" applyAlignment="1">
      <alignment horizontal="center" vertical="center"/>
    </xf>
    <xf numFmtId="0" fontId="0" fillId="8" borderId="2" xfId="0" applyFill="1" applyBorder="1" applyAlignment="1">
      <alignment horizontal="center" vertical="center"/>
    </xf>
    <xf numFmtId="0" fontId="6" fillId="0" borderId="0" xfId="0" applyFont="1" applyAlignment="1">
      <alignment vertical="center"/>
    </xf>
    <xf numFmtId="0" fontId="0" fillId="9" borderId="2" xfId="0" applyFill="1" applyBorder="1" applyAlignment="1">
      <alignment horizontal="center" vertical="center"/>
    </xf>
    <xf numFmtId="0" fontId="8" fillId="0" borderId="0" xfId="0" applyFont="1" applyAlignment="1">
      <alignment horizontal="left" vertical="center"/>
    </xf>
    <xf numFmtId="0" fontId="11" fillId="0" borderId="2" xfId="0" applyFont="1" applyBorder="1"/>
    <xf numFmtId="0" fontId="7" fillId="0" borderId="0" xfId="0" applyFont="1" applyAlignment="1">
      <alignment horizontal="right" vertical="center"/>
    </xf>
    <xf numFmtId="0" fontId="2" fillId="0" borderId="2" xfId="0" applyFont="1" applyBorder="1" applyAlignment="1">
      <alignment horizontal="center" vertical="center"/>
    </xf>
    <xf numFmtId="0" fontId="3" fillId="13" borderId="9" xfId="0" applyFont="1" applyFill="1" applyBorder="1"/>
    <xf numFmtId="0" fontId="0" fillId="0" borderId="9" xfId="0" applyBorder="1"/>
    <xf numFmtId="0" fontId="0" fillId="0" borderId="0" xfId="0" applyAlignment="1">
      <alignment horizontal="center"/>
    </xf>
    <xf numFmtId="0" fontId="0" fillId="15" borderId="9" xfId="0" applyFill="1" applyBorder="1" applyAlignment="1">
      <alignment vertical="center"/>
    </xf>
    <xf numFmtId="0" fontId="0" fillId="15" borderId="9" xfId="0" applyFill="1" applyBorder="1"/>
    <xf numFmtId="0" fontId="0" fillId="14" borderId="9" xfId="0" applyFill="1" applyBorder="1" applyAlignment="1">
      <alignment horizontal="center" vertical="center"/>
    </xf>
    <xf numFmtId="0" fontId="3" fillId="13" borderId="9" xfId="0" applyFont="1" applyFill="1" applyBorder="1" applyAlignment="1">
      <alignment horizontal="center" vertical="center"/>
    </xf>
    <xf numFmtId="0" fontId="0" fillId="15" borderId="9" xfId="0" applyFill="1" applyBorder="1" applyAlignment="1">
      <alignment horizontal="center" vertical="center"/>
    </xf>
    <xf numFmtId="1" fontId="0" fillId="15" borderId="9" xfId="0" applyNumberFormat="1" applyFill="1" applyBorder="1" applyAlignment="1">
      <alignment horizontal="center" vertical="center"/>
    </xf>
    <xf numFmtId="0" fontId="3" fillId="13" borderId="9" xfId="0" applyFont="1" applyFill="1" applyBorder="1" applyAlignment="1">
      <alignment horizontal="center"/>
    </xf>
    <xf numFmtId="0" fontId="0" fillId="0" borderId="9" xfId="0" applyBorder="1" applyAlignment="1">
      <alignment horizontal="center"/>
    </xf>
    <xf numFmtId="0" fontId="0" fillId="0" borderId="0" xfId="0" applyAlignment="1">
      <alignment vertical="center"/>
    </xf>
    <xf numFmtId="0" fontId="15" fillId="11" borderId="9" xfId="3" applyFont="1" applyBorder="1" applyAlignment="1">
      <alignment vertical="center"/>
    </xf>
    <xf numFmtId="0" fontId="16" fillId="10" borderId="9" xfId="2" applyFont="1" applyBorder="1" applyAlignment="1">
      <alignment vertical="center"/>
    </xf>
    <xf numFmtId="0" fontId="17" fillId="12" borderId="9" xfId="4" applyFont="1" applyBorder="1" applyAlignment="1">
      <alignment vertical="center"/>
    </xf>
    <xf numFmtId="0" fontId="18" fillId="16" borderId="9" xfId="0" applyFont="1" applyFill="1" applyBorder="1" applyAlignment="1">
      <alignment horizontal="left"/>
    </xf>
    <xf numFmtId="0" fontId="18" fillId="17" borderId="9" xfId="0" applyFont="1" applyFill="1" applyBorder="1" applyAlignment="1">
      <alignment horizontal="center"/>
    </xf>
    <xf numFmtId="0" fontId="0" fillId="5" borderId="9" xfId="0" applyFill="1" applyBorder="1" applyAlignment="1">
      <alignment horizontal="center" vertical="center"/>
    </xf>
    <xf numFmtId="0" fontId="0" fillId="5" borderId="9" xfId="0" applyFill="1" applyBorder="1" applyAlignment="1">
      <alignment horizontal="left"/>
    </xf>
    <xf numFmtId="0" fontId="0" fillId="5" borderId="9" xfId="0" applyFill="1" applyBorder="1" applyAlignment="1">
      <alignment horizontal="center"/>
    </xf>
    <xf numFmtId="0" fontId="0" fillId="0" borderId="9" xfId="0" applyBorder="1" applyAlignment="1">
      <alignment horizontal="left"/>
    </xf>
    <xf numFmtId="0" fontId="14" fillId="12" borderId="9" xfId="4" applyBorder="1" applyAlignment="1">
      <alignment horizontal="left"/>
    </xf>
    <xf numFmtId="0" fontId="13" fillId="11" borderId="9" xfId="3" applyBorder="1"/>
    <xf numFmtId="0" fontId="0" fillId="0" borderId="13" xfId="0" applyBorder="1" applyAlignment="1">
      <alignment horizontal="left"/>
    </xf>
    <xf numFmtId="0" fontId="12" fillId="10" borderId="8" xfId="2" applyBorder="1" applyAlignment="1">
      <alignment horizontal="left"/>
    </xf>
    <xf numFmtId="0" fontId="0" fillId="18" borderId="3" xfId="0" applyFill="1" applyBorder="1" applyAlignment="1">
      <alignment vertical="center" wrapText="1"/>
    </xf>
    <xf numFmtId="0" fontId="0" fillId="18" borderId="4" xfId="0" applyFill="1" applyBorder="1" applyAlignment="1">
      <alignment vertical="center" wrapText="1"/>
    </xf>
    <xf numFmtId="0" fontId="0" fillId="18" borderId="5" xfId="0" applyFill="1" applyBorder="1" applyAlignment="1">
      <alignment vertical="center" wrapText="1"/>
    </xf>
    <xf numFmtId="0" fontId="0" fillId="18" borderId="6" xfId="0" applyFill="1" applyBorder="1" applyAlignment="1">
      <alignment vertical="center" wrapText="1"/>
    </xf>
    <xf numFmtId="0" fontId="0" fillId="18" borderId="5" xfId="0" applyFill="1" applyBorder="1" applyAlignment="1">
      <alignment vertical="top" wrapText="1"/>
    </xf>
    <xf numFmtId="0" fontId="0" fillId="18" borderId="6" xfId="0" applyFill="1" applyBorder="1" applyAlignment="1">
      <alignment vertical="top" wrapText="1"/>
    </xf>
    <xf numFmtId="0" fontId="19" fillId="0" borderId="0" xfId="0" applyFont="1" applyAlignment="1">
      <alignment horizontal="left" vertical="center"/>
    </xf>
    <xf numFmtId="0" fontId="0" fillId="19" borderId="2" xfId="0" applyFill="1" applyBorder="1" applyAlignment="1">
      <alignment horizontal="center" vertical="center"/>
    </xf>
    <xf numFmtId="0" fontId="2" fillId="0" borderId="0" xfId="0" applyFont="1"/>
    <xf numFmtId="0" fontId="20" fillId="0" borderId="0" xfId="0" applyFont="1" applyAlignment="1">
      <alignment horizontal="left" vertical="center"/>
    </xf>
    <xf numFmtId="0" fontId="21" fillId="0" borderId="0" xfId="0" applyFont="1" applyAlignment="1">
      <alignment horizontal="left" vertical="center" indent="1" readingOrder="1"/>
    </xf>
    <xf numFmtId="0" fontId="22" fillId="0" borderId="1" xfId="0" applyFont="1" applyBorder="1" applyAlignment="1">
      <alignment horizontal="left" vertical="center"/>
    </xf>
    <xf numFmtId="0" fontId="21" fillId="0" borderId="0" xfId="0" applyFont="1" applyAlignment="1">
      <alignment horizontal="left" vertical="center" indent="2" readingOrder="1"/>
    </xf>
    <xf numFmtId="0" fontId="0" fillId="0" borderId="14" xfId="0" applyBorder="1"/>
    <xf numFmtId="0" fontId="0" fillId="20" borderId="2" xfId="0" applyFill="1" applyBorder="1" applyAlignment="1">
      <alignment horizontal="center" vertical="center"/>
    </xf>
    <xf numFmtId="0" fontId="10" fillId="0" borderId="0" xfId="5"/>
    <xf numFmtId="0" fontId="0" fillId="21" borderId="9" xfId="0" applyFill="1" applyBorder="1"/>
    <xf numFmtId="0" fontId="0" fillId="5" borderId="9" xfId="0" applyFill="1" applyBorder="1" applyAlignment="1">
      <alignment vertical="center" wrapText="1"/>
    </xf>
    <xf numFmtId="0" fontId="0" fillId="0" borderId="9" xfId="0" applyBorder="1" applyAlignment="1">
      <alignment vertical="center" wrapText="1"/>
    </xf>
    <xf numFmtId="0" fontId="2" fillId="21" borderId="9" xfId="0" applyFont="1" applyFill="1" applyBorder="1" applyAlignment="1">
      <alignment vertical="top" wrapText="1"/>
    </xf>
    <xf numFmtId="0" fontId="0" fillId="3" borderId="0" xfId="0" applyFill="1"/>
    <xf numFmtId="0" fontId="23" fillId="3" borderId="0" xfId="0" applyFont="1" applyFill="1" applyAlignment="1">
      <alignment vertical="center"/>
    </xf>
    <xf numFmtId="0" fontId="2" fillId="21" borderId="9" xfId="0" applyFont="1" applyFill="1" applyBorder="1" applyAlignment="1">
      <alignment horizontal="left" vertical="center" wrapText="1"/>
    </xf>
    <xf numFmtId="0" fontId="2" fillId="21" borderId="9" xfId="0" applyFont="1" applyFill="1" applyBorder="1" applyAlignment="1">
      <alignment vertical="center" wrapText="1"/>
    </xf>
    <xf numFmtId="0" fontId="0" fillId="0" borderId="0" xfId="0" applyAlignment="1">
      <alignment vertical="center" wrapText="1"/>
    </xf>
    <xf numFmtId="0" fontId="2" fillId="0" borderId="0" xfId="0" applyFont="1" applyAlignment="1">
      <alignment vertical="top"/>
    </xf>
    <xf numFmtId="0" fontId="0" fillId="0" borderId="9" xfId="0" applyBorder="1" applyAlignment="1">
      <alignment horizontal="left" vertical="top"/>
    </xf>
    <xf numFmtId="0" fontId="0" fillId="0" borderId="9" xfId="0" applyBorder="1" applyAlignment="1">
      <alignment horizontal="left" vertical="top" wrapText="1"/>
    </xf>
    <xf numFmtId="0" fontId="0" fillId="0" borderId="16" xfId="0" applyBorder="1" applyAlignment="1">
      <alignment horizontal="left" vertical="top" wrapText="1"/>
    </xf>
    <xf numFmtId="0" fontId="0" fillId="0" borderId="10" xfId="0" applyBorder="1" applyAlignment="1">
      <alignment horizontal="left" vertical="top" wrapText="1"/>
    </xf>
    <xf numFmtId="0" fontId="0" fillId="0" borderId="17" xfId="0" applyBorder="1" applyAlignment="1">
      <alignment horizontal="left" vertical="top" wrapText="1"/>
    </xf>
    <xf numFmtId="0" fontId="0" fillId="0" borderId="9" xfId="0" applyBorder="1" applyAlignment="1">
      <alignment vertical="top"/>
    </xf>
    <xf numFmtId="0" fontId="2" fillId="19" borderId="0" xfId="0" applyFont="1" applyFill="1"/>
    <xf numFmtId="0" fontId="0" fillId="0" borderId="0" xfId="0" applyAlignment="1">
      <alignment horizontal="left" vertical="top"/>
    </xf>
    <xf numFmtId="0" fontId="0" fillId="0" borderId="0" xfId="0" applyAlignment="1">
      <alignment horizontal="left" vertical="top" wrapText="1"/>
    </xf>
    <xf numFmtId="0" fontId="0" fillId="0" borderId="21" xfId="0" applyBorder="1" applyAlignment="1">
      <alignment wrapText="1"/>
    </xf>
    <xf numFmtId="0" fontId="0" fillId="0" borderId="9" xfId="0" applyBorder="1" applyAlignment="1">
      <alignment wrapText="1"/>
    </xf>
    <xf numFmtId="0" fontId="2" fillId="22" borderId="9" xfId="0" applyFont="1" applyFill="1" applyBorder="1" applyAlignment="1">
      <alignment vertical="center" wrapText="1"/>
    </xf>
    <xf numFmtId="0" fontId="0" fillId="23" borderId="16" xfId="0" applyFill="1" applyBorder="1" applyAlignment="1">
      <alignment horizontal="left" vertical="top" wrapText="1"/>
    </xf>
    <xf numFmtId="0" fontId="0" fillId="23" borderId="9" xfId="0" applyFill="1" applyBorder="1" applyAlignment="1">
      <alignment horizontal="left" vertical="top" wrapText="1"/>
    </xf>
    <xf numFmtId="0" fontId="0" fillId="14" borderId="3" xfId="0" applyFill="1" applyBorder="1" applyAlignment="1">
      <alignment vertical="center" wrapText="1"/>
    </xf>
    <xf numFmtId="0" fontId="0" fillId="0" borderId="0" xfId="0" applyAlignment="1">
      <alignment horizontal="left" vertical="center"/>
    </xf>
    <xf numFmtId="0" fontId="10" fillId="0" borderId="9" xfId="5" applyBorder="1" applyAlignment="1">
      <alignment horizontal="left" vertical="top"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0" fillId="24" borderId="4" xfId="0" applyFill="1" applyBorder="1" applyAlignment="1">
      <alignment vertical="center" wrapText="1"/>
    </xf>
    <xf numFmtId="0" fontId="0" fillId="24" borderId="5" xfId="0" applyFill="1" applyBorder="1" applyAlignment="1">
      <alignment vertical="center" wrapText="1"/>
    </xf>
    <xf numFmtId="0" fontId="0" fillId="24" borderId="3" xfId="0" applyFill="1" applyBorder="1" applyAlignment="1">
      <alignment vertical="center" wrapText="1"/>
    </xf>
    <xf numFmtId="0" fontId="0" fillId="24" borderId="5" xfId="0" applyFill="1" applyBorder="1" applyAlignment="1">
      <alignment vertical="top" wrapText="1"/>
    </xf>
    <xf numFmtId="0" fontId="0" fillId="25" borderId="4" xfId="0" applyFill="1" applyBorder="1" applyAlignment="1">
      <alignment vertical="center" wrapText="1"/>
    </xf>
    <xf numFmtId="0" fontId="0" fillId="26" borderId="3" xfId="0" applyFill="1" applyBorder="1" applyAlignment="1">
      <alignment vertical="center" wrapText="1"/>
    </xf>
    <xf numFmtId="0" fontId="25" fillId="0" borderId="0" xfId="0" applyFont="1"/>
    <xf numFmtId="0" fontId="13" fillId="11" borderId="9" xfId="3" applyBorder="1" applyAlignment="1">
      <alignment vertical="center" wrapText="1"/>
    </xf>
    <xf numFmtId="0" fontId="12" fillId="10" borderId="9" xfId="2" applyBorder="1" applyAlignment="1">
      <alignment vertical="center" wrapText="1"/>
    </xf>
    <xf numFmtId="0" fontId="14" fillId="12" borderId="9" xfId="4" applyBorder="1" applyAlignment="1">
      <alignment vertical="center" wrapText="1"/>
    </xf>
    <xf numFmtId="0" fontId="23" fillId="0" borderId="0" xfId="0" applyFont="1"/>
    <xf numFmtId="0" fontId="26" fillId="0" borderId="0" xfId="4" applyFont="1" applyFill="1"/>
    <xf numFmtId="0" fontId="0" fillId="0" borderId="1" xfId="0" applyBorder="1"/>
    <xf numFmtId="0" fontId="11" fillId="0" borderId="0" xfId="0" applyFont="1"/>
    <xf numFmtId="0" fontId="24" fillId="0" borderId="0" xfId="0" applyFont="1"/>
    <xf numFmtId="0" fontId="27" fillId="0" borderId="0" xfId="0" applyFont="1" applyAlignment="1">
      <alignment horizontal="left" vertical="center"/>
    </xf>
    <xf numFmtId="0" fontId="28" fillId="0" borderId="2" xfId="4" applyFont="1" applyFill="1" applyBorder="1" applyAlignment="1">
      <alignment horizontal="center"/>
    </xf>
    <xf numFmtId="0" fontId="28" fillId="0" borderId="0" xfId="0" applyFont="1"/>
    <xf numFmtId="0" fontId="28" fillId="0" borderId="2" xfId="4" applyFont="1" applyFill="1" applyBorder="1" applyAlignment="1">
      <alignment horizontal="center" vertical="center"/>
    </xf>
    <xf numFmtId="0" fontId="27" fillId="0" borderId="0" xfId="0" applyFont="1" applyAlignment="1">
      <alignment horizontal="left" vertical="center" wrapText="1"/>
    </xf>
    <xf numFmtId="0" fontId="0" fillId="3" borderId="2" xfId="0" applyFill="1" applyBorder="1" applyAlignment="1">
      <alignment horizontal="center" vertical="center"/>
    </xf>
    <xf numFmtId="9" fontId="0" fillId="0" borderId="2" xfId="0" applyNumberFormat="1" applyBorder="1" applyAlignment="1">
      <alignment horizontal="center" vertical="center"/>
    </xf>
    <xf numFmtId="0" fontId="0" fillId="27" borderId="0" xfId="0" applyFill="1"/>
    <xf numFmtId="0" fontId="30" fillId="0" borderId="9" xfId="0" applyFont="1" applyBorder="1" applyAlignment="1">
      <alignment vertical="top" wrapText="1"/>
    </xf>
    <xf numFmtId="0" fontId="0" fillId="27" borderId="2" xfId="0" applyFill="1" applyBorder="1" applyAlignment="1">
      <alignment horizontal="center" vertical="center"/>
    </xf>
    <xf numFmtId="16" fontId="0" fillId="0" borderId="2" xfId="0" applyNumberFormat="1" applyBorder="1" applyAlignment="1">
      <alignment horizontal="center" vertical="center"/>
    </xf>
    <xf numFmtId="0" fontId="29" fillId="28" borderId="13" xfId="0" applyFont="1" applyFill="1" applyBorder="1" applyAlignment="1">
      <alignment vertical="top"/>
    </xf>
    <xf numFmtId="0" fontId="29" fillId="29" borderId="13" xfId="0" applyFont="1" applyFill="1" applyBorder="1" applyAlignment="1">
      <alignment vertical="top"/>
    </xf>
    <xf numFmtId="0" fontId="29" fillId="0" borderId="13" xfId="0" applyFont="1" applyBorder="1" applyAlignment="1">
      <alignment vertical="top"/>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5" borderId="9" xfId="0" applyFill="1" applyBorder="1" applyAlignment="1">
      <alignment horizontal="center" vertical="center"/>
    </xf>
    <xf numFmtId="0" fontId="0" fillId="24" borderId="4" xfId="0" applyFill="1" applyBorder="1" applyAlignment="1">
      <alignment vertical="center" wrapText="1"/>
    </xf>
    <xf numFmtId="0" fontId="0" fillId="24" borderId="5" xfId="0" applyFill="1" applyBorder="1" applyAlignment="1">
      <alignment vertical="center" wrapText="1"/>
    </xf>
    <xf numFmtId="0" fontId="0" fillId="24" borderId="6" xfId="0" applyFill="1"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24" borderId="4" xfId="0" applyFill="1" applyBorder="1" applyAlignment="1">
      <alignment horizontal="center" vertical="center" wrapText="1"/>
    </xf>
    <xf numFmtId="0" fontId="0" fillId="24" borderId="5"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4" xfId="0" applyFill="1" applyBorder="1" applyAlignment="1">
      <alignment vertical="center" wrapText="1"/>
    </xf>
    <xf numFmtId="0" fontId="0" fillId="5" borderId="5" xfId="0" applyFill="1" applyBorder="1" applyAlignment="1">
      <alignment vertical="center" wrapText="1"/>
    </xf>
    <xf numFmtId="0" fontId="0" fillId="5" borderId="6" xfId="0" applyFill="1" applyBorder="1" applyAlignment="1">
      <alignment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0" fillId="5" borderId="6" xfId="0"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5" borderId="4" xfId="0" quotePrefix="1" applyFill="1" applyBorder="1" applyAlignment="1">
      <alignment vertical="center" wrapText="1"/>
    </xf>
    <xf numFmtId="0" fontId="0" fillId="18" borderId="4" xfId="0" applyFill="1" applyBorder="1" applyAlignment="1">
      <alignment vertical="center" wrapText="1"/>
    </xf>
    <xf numFmtId="0" fontId="0" fillId="18" borderId="5" xfId="0" applyFill="1" applyBorder="1" applyAlignment="1">
      <alignment vertical="center" wrapText="1"/>
    </xf>
    <xf numFmtId="0" fontId="0" fillId="18" borderId="6" xfId="0" applyFill="1" applyBorder="1" applyAlignment="1">
      <alignment vertical="center" wrapText="1"/>
    </xf>
    <xf numFmtId="0" fontId="6" fillId="5" borderId="4"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0" fillId="18" borderId="4" xfId="0" applyFill="1" applyBorder="1" applyAlignment="1">
      <alignment horizontal="center" vertical="center" wrapText="1"/>
    </xf>
    <xf numFmtId="0" fontId="0" fillId="18" borderId="5" xfId="0" applyFill="1" applyBorder="1" applyAlignment="1">
      <alignment horizontal="center" vertical="center" wrapText="1"/>
    </xf>
    <xf numFmtId="0" fontId="0" fillId="18" borderId="6" xfId="0" applyFill="1" applyBorder="1" applyAlignment="1">
      <alignment horizontal="center" vertical="center" wrapText="1"/>
    </xf>
    <xf numFmtId="0" fontId="0" fillId="0" borderId="9"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5" borderId="9" xfId="0" applyFill="1" applyBorder="1" applyAlignment="1">
      <alignment horizontal="left" vertical="center" wrapText="1"/>
    </xf>
    <xf numFmtId="0" fontId="0" fillId="0" borderId="9" xfId="0" applyBorder="1" applyAlignment="1">
      <alignment horizontal="left" vertical="center" wrapText="1"/>
    </xf>
    <xf numFmtId="0" fontId="0" fillId="0" borderId="9" xfId="0" applyBorder="1" applyAlignment="1">
      <alignment vertical="center" wrapText="1"/>
    </xf>
    <xf numFmtId="0" fontId="0" fillId="5" borderId="9" xfId="0" applyFill="1" applyBorder="1" applyAlignment="1">
      <alignment vertical="center"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5" xfId="0" applyBorder="1" applyAlignment="1">
      <alignment horizontal="center" vertical="top" wrapText="1"/>
    </xf>
    <xf numFmtId="0" fontId="0" fillId="5" borderId="10"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13" fillId="11" borderId="9" xfId="3" applyBorder="1" applyAlignment="1">
      <alignment vertical="center" wrapText="1"/>
    </xf>
    <xf numFmtId="0" fontId="12" fillId="10" borderId="9" xfId="2" applyBorder="1" applyAlignment="1">
      <alignment vertical="center" wrapText="1"/>
    </xf>
    <xf numFmtId="0" fontId="13" fillId="11" borderId="22" xfId="3" applyBorder="1" applyAlignment="1">
      <alignment vertical="center" wrapText="1"/>
    </xf>
    <xf numFmtId="0" fontId="31" fillId="0" borderId="23" xfId="0" applyFont="1" applyBorder="1" applyAlignment="1">
      <alignment horizontal="center" vertical="center"/>
    </xf>
    <xf numFmtId="0" fontId="31" fillId="0" borderId="24" xfId="0" applyFont="1" applyBorder="1" applyAlignment="1">
      <alignment horizontal="center" vertical="center"/>
    </xf>
    <xf numFmtId="0" fontId="31" fillId="0" borderId="25" xfId="0" applyFont="1" applyBorder="1" applyAlignment="1">
      <alignment horizontal="center" vertical="center"/>
    </xf>
    <xf numFmtId="0" fontId="6" fillId="0" borderId="7" xfId="0" applyFont="1" applyBorder="1" applyAlignment="1">
      <alignment horizontal="center"/>
    </xf>
  </cellXfs>
  <cellStyles count="13">
    <cellStyle name="Bueno" xfId="3" builtinId="26"/>
    <cellStyle name="Fecha" xfId="11" xr:uid="{5FF2EBD2-2E49-46F7-89AD-3ED24F5A9EE0}"/>
    <cellStyle name="Hipervínculo" xfId="5" builtinId="8"/>
    <cellStyle name="Hipervínculo 2" xfId="12" xr:uid="{0296F126-91B1-4E9E-BC1A-1C08267998AE}"/>
    <cellStyle name="Incorrecto" xfId="4" builtinId="27"/>
    <cellStyle name="Neutral" xfId="2" builtinId="28"/>
    <cellStyle name="Nombre" xfId="9" xr:uid="{D1421BA9-C1A1-4CDD-A788-C63C513D9ABE}"/>
    <cellStyle name="Normal" xfId="0" builtinId="0"/>
    <cellStyle name="Porcentaje" xfId="1" builtinId="5"/>
    <cellStyle name="Tarea" xfId="10" xr:uid="{CD760C60-2F2A-4B33-9F7F-11631CA27267}"/>
    <cellStyle name="Título 2 2" xfId="7" xr:uid="{BD6E2EE3-6AA4-4252-900B-350ABCB0A6CB}"/>
    <cellStyle name="Título 3 2" xfId="8" xr:uid="{9CA6EACE-B666-4C11-9EAF-4160B3E55C96}"/>
    <cellStyle name="zTextoOculto" xfId="6" xr:uid="{04BBE405-128E-4F3F-8309-6F74260D41EA}"/>
  </cellStyles>
  <dxfs count="28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C000"/>
        </patternFill>
      </fill>
    </dxf>
    <dxf>
      <fill>
        <patternFill>
          <bgColor rgb="FFFFFF00"/>
        </patternFill>
      </fill>
    </dxf>
  </dxfs>
  <tableStyles count="1" defaultTableStyle="TableStyleMedium2" defaultPivotStyle="PivotStyleLight16">
    <tableStyle name="Invisible" pivot="0" table="0" count="0" xr9:uid="{990E53A1-91B5-4A37-9B4C-F1EFBD37C111}"/>
  </tableStyles>
  <colors>
    <mruColors>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ocumenttasks/documenttask1.xml><?xml version="1.0" encoding="utf-8"?>
<Tasks xmlns="http://schemas.microsoft.com/office/tasks/2019/documenttasks">
  <Task id="{1B3DF08B-8408-4CE4-8EAE-6EAF965EBCD8}">
    <Anchor>
      <Comment id="{925AEE8D-5F7B-49C8-8C7A-5E7871171287}"/>
    </Anchor>
    <History>
      <Event time="2022-05-09T03:11:51.40" id="{E413C4BB-B5A7-4A1D-88E5-03BE7ECDB668}">
        <Attribution userId="S::gabriela.mena@grupoentero.com::b3266881-6c19-48dc-b871-2af1a4138451" userName="Gabriela Mena" userProvider="AD"/>
        <Anchor>
          <Comment id="{925AEE8D-5F7B-49C8-8C7A-5E7871171287}"/>
        </Anchor>
        <Create/>
      </Event>
      <Event time="2022-05-09T03:11:51.40" id="{6A09A006-34B0-4E20-9BDC-7C9DB305CF9C}">
        <Attribution userId="S::gabriela.mena@grupoentero.com::b3266881-6c19-48dc-b871-2af1a4138451" userName="Gabriela Mena" userProvider="AD"/>
        <Anchor>
          <Comment id="{925AEE8D-5F7B-49C8-8C7A-5E7871171287}"/>
        </Anchor>
        <Assign userId="S::david.salazar@sicsacorp.com::4d2bedf3-3a4a-45de-9983-97de76ef43aa" userName="David Salazar" userProvider="AD"/>
      </Event>
      <Event time="2022-05-09T03:11:51.40" id="{C2BEE5E3-A140-459C-B758-E5959D3BB3C9}">
        <Attribution userId="S::gabriela.mena@grupoentero.com::b3266881-6c19-48dc-b871-2af1a4138451" userName="Gabriela Mena" userProvider="AD"/>
        <Anchor>
          <Comment id="{925AEE8D-5F7B-49C8-8C7A-5E7871171287}"/>
        </Anchor>
        <SetTitle title="@David Salazar Lao aqui tu contribuciones llevar ROA actualizado y cada vez con más y mejor data."/>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171450</xdr:rowOff>
    </xdr:from>
    <xdr:to>
      <xdr:col>3</xdr:col>
      <xdr:colOff>613481</xdr:colOff>
      <xdr:row>8</xdr:row>
      <xdr:rowOff>112889</xdr:rowOff>
    </xdr:to>
    <xdr:pic>
      <xdr:nvPicPr>
        <xdr:cNvPr id="4" name="Picture 13">
          <a:extLst>
            <a:ext uri="{FF2B5EF4-FFF2-40B4-BE49-F238E27FC236}">
              <a16:creationId xmlns:a16="http://schemas.microsoft.com/office/drawing/2014/main" id="{CC396ACC-7D1F-43F4-AB42-A7A34D08360D}"/>
            </a:ext>
            <a:ext uri="{147F2762-F138-4A5C-976F-8EAC2B608ADB}">
              <a16:predDERef xmlns:a16="http://schemas.microsoft.com/office/drawing/2014/main" pred="{0041DD85-F634-4C0C-B991-AE07F7EE4908}"/>
            </a:ext>
          </a:extLst>
        </xdr:cNvPr>
        <xdr:cNvPicPr>
          <a:picLocks noChangeAspect="1"/>
        </xdr:cNvPicPr>
      </xdr:nvPicPr>
      <xdr:blipFill>
        <a:blip xmlns:r="http://schemas.openxmlformats.org/officeDocument/2006/relationships" r:embed="rId1"/>
        <a:stretch>
          <a:fillRect/>
        </a:stretch>
      </xdr:blipFill>
      <xdr:spPr>
        <a:xfrm>
          <a:off x="25400" y="171450"/>
          <a:ext cx="2874081" cy="1389239"/>
        </a:xfrm>
        <a:prstGeom prst="rect">
          <a:avLst/>
        </a:prstGeom>
      </xdr:spPr>
    </xdr:pic>
    <xdr:clientData/>
  </xdr:twoCellAnchor>
  <xdr:twoCellAnchor editAs="oneCell">
    <xdr:from>
      <xdr:col>3</xdr:col>
      <xdr:colOff>339372</xdr:colOff>
      <xdr:row>1</xdr:row>
      <xdr:rowOff>92076</xdr:rowOff>
    </xdr:from>
    <xdr:to>
      <xdr:col>7</xdr:col>
      <xdr:colOff>662164</xdr:colOff>
      <xdr:row>7</xdr:row>
      <xdr:rowOff>167570</xdr:rowOff>
    </xdr:to>
    <xdr:pic>
      <xdr:nvPicPr>
        <xdr:cNvPr id="3" name="Imagen 2">
          <a:extLst>
            <a:ext uri="{FF2B5EF4-FFF2-40B4-BE49-F238E27FC236}">
              <a16:creationId xmlns:a16="http://schemas.microsoft.com/office/drawing/2014/main" id="{32228BD5-7B75-47F0-ADEC-B9FDD318DA14}"/>
            </a:ext>
            <a:ext uri="{147F2762-F138-4A5C-976F-8EAC2B608ADB}">
              <a16:predDERef xmlns:a16="http://schemas.microsoft.com/office/drawing/2014/main" pred="{06ACC595-9A33-870C-49A1-65042A2B60FF}"/>
            </a:ext>
          </a:extLst>
        </xdr:cNvPr>
        <xdr:cNvPicPr>
          <a:picLocks noChangeAspect="1"/>
        </xdr:cNvPicPr>
      </xdr:nvPicPr>
      <xdr:blipFill>
        <a:blip xmlns:r="http://schemas.openxmlformats.org/officeDocument/2006/relationships" r:embed="rId2"/>
        <a:stretch>
          <a:fillRect/>
        </a:stretch>
      </xdr:blipFill>
      <xdr:spPr>
        <a:xfrm>
          <a:off x="2739672" y="276226"/>
          <a:ext cx="3523192" cy="11803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vid Salazar" id="{88DD9B5B-3379-4FC2-9535-AAD6E3E397F2}" userId="david.salazar@sicsacorp.com" providerId="PeoplePicker"/>
  <person displayName="Massiel Lopez" id="{E27B1351-78BD-4C27-843F-D86CC11704F0}" userId="massiel.lopez@sicsacorp.com" providerId="PeoplePicker"/>
  <person displayName="Lucy Loaiza" id="{7FC519CA-504F-4C83-8148-E64F580AC2DD}" userId="S::lucy.loaiza@sicsacorp.com::8fbf38f7-04b7-4b39-a251-5e34ae33720a" providerId="AD"/>
  <person displayName="Gabriela Mena" id="{DA10D959-76C8-4802-B973-CC5C6CECC084}" userId="S::gabriela.mena@grupoentero.com::b3266881-6c19-48dc-b871-2af1a4138451"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 dT="2022-04-25T20:28:20.46" personId="{DA10D959-76C8-4802-B973-CC5C6CECC084}" id="{E1C39E97-8D87-46B1-A6E4-B4F5F4C90A62}">
    <text xml:space="preserve">Ofrecimos validar base el día de presentación y luego con 4 directores. Al no funcionar debe nombrarse alguien por parte de Aktiva. </text>
  </threadedComment>
</ThreadedComments>
</file>

<file path=xl/threadedComments/threadedComment2.xml><?xml version="1.0" encoding="utf-8"?>
<ThreadedComments xmlns="http://schemas.microsoft.com/office/spreadsheetml/2018/threadedcomments" xmlns:x="http://schemas.openxmlformats.org/spreadsheetml/2006/main">
  <threadedComment ref="G4" dT="2022-09-19T20:17:39.19" personId="{DA10D959-76C8-4802-B973-CC5C6CECC084}" id="{C9DBEE33-8498-4B2B-B00B-6490E7C2A95B}">
    <text xml:space="preserve">Ya pagó un país, falta el otro. </text>
  </threadedComment>
  <threadedComment ref="K6" dT="2022-09-19T20:24:16.46" personId="{DA10D959-76C8-4802-B973-CC5C6CECC084}" id="{DAA99283-7272-4A7E-A6AA-17D745BB7D32}">
    <text>Entrega lunes 26-09 y sesión el viernes 30. Massi confirma y sino se corre entrega a 28-09.</text>
  </threadedComment>
  <threadedComment ref="L6" dT="2022-09-19T20:19:30.78" personId="{DA10D959-76C8-4802-B973-CC5C6CECC084}" id="{52DB82C4-A320-4A72-8FC7-1A1A9FECBC37}">
    <text xml:space="preserve">Excel dinámico pendiente, sólo se les envió el resumen para su presentación en JD. </text>
  </threadedComment>
  <threadedComment ref="L6" dT="2022-09-19T20:20:19.28" personId="{DA10D959-76C8-4802-B973-CC5C6CECC084}" id="{50C4E9F8-6249-42F6-A339-A0CF74C2DF62}" parentId="{52DB82C4-A320-4A72-8FC7-1A1A9FECBC37}">
    <text>Se enviará miércoles 21-09.</text>
  </threadedComment>
</ThreadedComments>
</file>

<file path=xl/threadedComments/threadedComment3.xml><?xml version="1.0" encoding="utf-8"?>
<ThreadedComments xmlns="http://schemas.microsoft.com/office/spreadsheetml/2018/threadedcomments" xmlns:x="http://schemas.openxmlformats.org/spreadsheetml/2006/main">
  <threadedComment ref="I23" dT="2022-04-11T20:35:22.61" personId="{DA10D959-76C8-4802-B973-CC5C6CECC084}" id="{B1B12DC1-8B2F-CD45-91A9-03F600F9AA17}">
    <text>sistemas de benestar
otros proyectos de CI
mantener tableros de benestar tambn
BU de Dynamo
Indicadores Aktiva</text>
  </threadedComment>
  <threadedComment ref="K23" dT="2022-05-09T03:10:13.06" personId="{DA10D959-76C8-4802-B973-CC5C6CECC084}" id="{A5971853-966D-4AD9-9C3F-3339A3112BAE}">
    <text xml:space="preserve">Ahora con el proyecto de Aktiva Massi, aquí tu rol es más activo como project manager y líder estratégico. @Massiel Lopez </text>
    <mentions>
      <mention mentionpersonId="{E27B1351-78BD-4C27-843F-D86CC11704F0}" mentionId="{5A422FA9-3341-4648-AB97-5BBB6953524B}" startIndex="107" length="14"/>
    </mentions>
  </threadedComment>
  <threadedComment ref="D28" dT="2022-04-11T20:41:12.57" personId="{DA10D959-76C8-4802-B973-CC5C6CECC084}" id="{26F381E4-8829-5A41-8F2A-F34EFC5270A5}">
    <text xml:space="preserve">Cerramos agilidad
Identificados pero no activados:  
Aktiva- Socios estratégicos
Benestar- Recompra
En proceso: 
Dynamo: Apoyo con Co living no entra bajo costo
Aktiva: Business Intelligence
</text>
  </threadedComment>
  <threadedComment ref="I28" dT="2022-04-11T20:50:24.14" personId="{DA10D959-76C8-4802-B973-CC5C6CECC084}" id="{61D91CE0-C205-CB49-91E6-7B11FFBB42A2}">
    <text xml:space="preserve">Potenciales candidatos: 
- QC: Proceso de kick off de proyectos
- QC: Plan de comunicación
- Benestar: A través de Investigación de Desarrollo de nuevo canal? Corporativo compartido con Sonrie?
Candidatos bajo asesoría:
- Benestar: Independencia de Canales
- Sonrie: Pendiente de ejercicio con Flor 
En proceso tendremos: 
- CI Agilidad
- BU de Aktiva 
- Dynamo Coliving
</text>
  </threadedComment>
  <threadedComment ref="J29" dT="2022-05-09T03:11:51.62" personId="{DA10D959-76C8-4802-B973-CC5C6CECC084}" id="{925AEE8D-5F7B-49C8-8C7A-5E7871171287}">
    <text>@David Salazar Lao aqui tu contribuciones llevar ROA actualizado y cada vez con más y mejor data.</text>
    <mentions>
      <mention mentionpersonId="{88DD9B5B-3379-4FC2-9535-AAD6E3E397F2}" mentionId="{AE914A58-6474-49FD-AB2D-A7C5D3CBE166}" startIndex="0" length="14"/>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C26" dT="2022-09-29T23:43:44.08" personId="{DA10D959-76C8-4802-B973-CC5C6CECC084}" id="{3FB87B67-F79D-9740-93FA-834CE9AFDE71}">
    <text>Este es nuevo!</text>
  </threadedComment>
  <threadedComment ref="C41" dT="2022-09-29T23:49:17.11" personId="{DA10D959-76C8-4802-B973-CC5C6CECC084}" id="{CE27BD21-0984-CF4C-A8CF-F698AAF2AC98}">
    <text>AGREGUÉ ESTA NUEVA</text>
  </threadedComment>
</ThreadedComments>
</file>

<file path=xl/threadedComments/threadedComment5.xml><?xml version="1.0" encoding="utf-8"?>
<ThreadedComments xmlns="http://schemas.microsoft.com/office/spreadsheetml/2018/threadedcomments" xmlns:x="http://schemas.openxmlformats.org/spreadsheetml/2006/main">
  <threadedComment ref="H10" dT="2026-05-18T22:09:12.35" personId="{7FC519CA-504F-4C83-8148-E64F580AC2DD}" id="{5089B525-9365-443E-8A5C-CC91E8FABEF4}">
    <text xml:space="preserve">Pendiente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968BD61-8C71-4CB4-B84E-C0FE0A525F9A}">
  <we:reference id="WA200009404" version="1.0.0.8" store="Omex" storeType="OMEX"/>
  <we:alternateReferences>
    <we:reference id="WA200009404" version="1.0.0.8" store="WA200009404" storeType="OMEX"/>
  </we:alternateReferences>
  <we:properties>
    <we:property name="claude.fileId" value="&quot;9c6235e2-9d98-4ca1-8031-fdd15acd17d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hyperlink" Target="https://365grupoentero.sharepoint.com/:x:/s/fascinaciondeclientes/EYtyeVnZuUlHobmpfk_Vg_kB7IBI4Ywz3SznJYDufqSYHQ?e=6qM69H" TargetMode="External"/><Relationship Id="rId6" Type="http://schemas.microsoft.com/office/2019/04/relationships/documenttask" Target="../documenttasks/documenttask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hyperlink" Target="https://youtu.be/0FmKsDf_CnI" TargetMode="External"/><Relationship Id="rId7" Type="http://schemas.openxmlformats.org/officeDocument/2006/relationships/hyperlink" Target="https://365grupoentero.sharepoint.com/:x:/r/sites/fascinaciondeclientes/Documentos%20compartidos/General/Administracion/Medici&#243;n%20interna/2022/Csat%20FDC.xlsx?d=wfc12576a51a44412aab5dedafaed94df&amp;csf=1&amp;web=1&amp;e=xUQeUR" TargetMode="External"/><Relationship Id="rId2" Type="http://schemas.openxmlformats.org/officeDocument/2006/relationships/hyperlink" Target="https://www.youtube.com/watch?v=INdKgBPEI-8" TargetMode="External"/><Relationship Id="rId1" Type="http://schemas.openxmlformats.org/officeDocument/2006/relationships/hyperlink" Target="https://review.firstround.com/radical-candor-the-surprising-secret-to-being-a-good-boss" TargetMode="External"/><Relationship Id="rId6" Type="http://schemas.openxmlformats.org/officeDocument/2006/relationships/hyperlink" Target="https://365grupoentero.sharepoint.com/:x:/r/sites/fascinaciondeclientes/Documentos%20compartidos/General/Administracion/Medici&#243;n%20interna/2022/Encuesta%20de%20Tableros.xlsx?d=w5c5bd671bdb94bfeae13fd4c3fbebf80&amp;csf=1&amp;web=1&amp;e=ahSkuD" TargetMode="External"/><Relationship Id="rId5" Type="http://schemas.openxmlformats.org/officeDocument/2006/relationships/hyperlink" Target="https://365grupoentero.sharepoint.com/:x:/r/sites/fascinaciondeclientes/Documentos%20compartidos/Evaluaci&#243;n%20sobre%20Resultados%20enviados%20NPS.xlsx?d=wc2faad3601fe4a0eb116a98748cde3b5&amp;csf=1&amp;web=1&amp;e=8kh021" TargetMode="External"/><Relationship Id="rId4" Type="http://schemas.openxmlformats.org/officeDocument/2006/relationships/hyperlink" Target="https://365grupoentero.sharepoint.com/:x:/r/sites/fascinaciondeclientes/Documentos%20compartidos/Medici&#243;n%20sobre%20tu%20experiencia%20sobre%20resultados%20NPS.xlsx?d=wceca36f1d3f8485097b3d89f0e9be02f&amp;csf=1&amp;web=1&amp;e=iFVwjW"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rockcontent.com/es/blog/jobs-to-be-done/" TargetMode="External"/><Relationship Id="rId3" Type="http://schemas.openxmlformats.org/officeDocument/2006/relationships/hyperlink" Target="https://365grupoentero.sharepoint.com/:x:/r/sites/fascinaciondeclientes/Documentos%20compartidos/General/Administracion/Medici&#243;n%20interna/2022/Encuesta%20de%20Tableros.xlsx?d=w5c5bd671bdb94bfeae13fd4c3fbebf80&amp;csf=1&amp;web=1&amp;e=ahSkuD" TargetMode="External"/><Relationship Id="rId7" Type="http://schemas.openxmlformats.org/officeDocument/2006/relationships/hyperlink" Target="https://youtu.be/JfgYNofytzI" TargetMode="External"/><Relationship Id="rId12" Type="http://schemas.microsoft.com/office/2017/10/relationships/threadedComment" Target="../threadedComments/threadedComment4.xml"/><Relationship Id="rId2" Type="http://schemas.openxmlformats.org/officeDocument/2006/relationships/hyperlink" Target="https://365grupoentero.sharepoint.com/:x:/r/sites/fascinaciondeclientes/Documentos%20compartidos/Evaluaci&#243;n%20sobre%20Resultados%20enviados%20NPS.xlsx?d=wc2faad3601fe4a0eb116a98748cde3b5&amp;csf=1&amp;web=1&amp;e=8kh021" TargetMode="External"/><Relationship Id="rId1" Type="http://schemas.openxmlformats.org/officeDocument/2006/relationships/hyperlink" Target="https://365grupoentero.sharepoint.com/:x:/r/sites/fascinaciondeclientes/Documentos%20compartidos/Medici&#243;n%20sobre%20tu%20experiencia%20sobre%20resultados%20NPS.xlsx?d=wceca36f1d3f8485097b3d89f0e9be02f&amp;csf=1&amp;web=1&amp;e=iFVwjW" TargetMode="External"/><Relationship Id="rId6" Type="http://schemas.openxmlformats.org/officeDocument/2006/relationships/hyperlink" Target="https://youtu.be/2rUbNSDLfxY" TargetMode="External"/><Relationship Id="rId11" Type="http://schemas.openxmlformats.org/officeDocument/2006/relationships/comments" Target="../comments4.xml"/><Relationship Id="rId5" Type="http://schemas.openxmlformats.org/officeDocument/2006/relationships/hyperlink" Target="https://youtu.be/1apybXngK14" TargetMode="External"/><Relationship Id="rId10" Type="http://schemas.openxmlformats.org/officeDocument/2006/relationships/vmlDrawing" Target="../drawings/vmlDrawing4.vml"/><Relationship Id="rId4" Type="http://schemas.openxmlformats.org/officeDocument/2006/relationships/hyperlink" Target="https://365grupoentero.sharepoint.com/:x:/r/sites/fascinaciondeclientes/Documentos%20compartidos/General/Administracion/Medici&#243;n%20interna/2022/Csat%20FDC.xlsx?d=wfc12576a51a44412aab5dedafaed94df&amp;csf=1&amp;web=1&amp;e=xUQeUR" TargetMode="External"/><Relationship Id="rId9" Type="http://schemas.openxmlformats.org/officeDocument/2006/relationships/hyperlink" Target="https://365grupoentero.sharepoint.com/:p:/s/fascinaciondeclientes/EbkDk6jlylhAsTHYHMvbSEUBhIFoGe7IPi51tsTRhPwRQA?e=9A2IJC"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C9A97-AC97-4949-ACFE-B307AA2C2ECD}">
  <sheetPr codeName="Hoja2"/>
  <dimension ref="A1:M37"/>
  <sheetViews>
    <sheetView showGridLines="0" workbookViewId="0">
      <selection activeCell="G15" sqref="G15"/>
    </sheetView>
  </sheetViews>
  <sheetFormatPr baseColWidth="10" defaultColWidth="11.5" defaultRowHeight="15" x14ac:dyDescent="0.2"/>
  <sheetData>
    <row r="1" spans="1:13" x14ac:dyDescent="0.2">
      <c r="A1" t="s">
        <v>0</v>
      </c>
      <c r="L1" s="75" t="s">
        <v>1</v>
      </c>
    </row>
    <row r="2" spans="1:13" x14ac:dyDescent="0.2">
      <c r="L2" s="4" t="s">
        <v>2</v>
      </c>
      <c r="M2" s="4"/>
    </row>
    <row r="3" spans="1:13" x14ac:dyDescent="0.2">
      <c r="L3" s="4">
        <v>267214.81000000006</v>
      </c>
      <c r="M3" s="4">
        <v>256368.12999999998</v>
      </c>
    </row>
    <row r="24" spans="1:6" x14ac:dyDescent="0.2">
      <c r="A24" s="75" t="s">
        <v>3</v>
      </c>
    </row>
    <row r="26" spans="1:6" x14ac:dyDescent="0.2">
      <c r="B26" t="s">
        <v>4</v>
      </c>
    </row>
    <row r="27" spans="1:6" x14ac:dyDescent="0.2">
      <c r="B27" t="s">
        <v>5</v>
      </c>
      <c r="C27" t="s">
        <v>6</v>
      </c>
      <c r="D27" t="s">
        <v>7</v>
      </c>
      <c r="E27" t="s">
        <v>8</v>
      </c>
      <c r="F27" t="s">
        <v>9</v>
      </c>
    </row>
    <row r="28" spans="1:6" x14ac:dyDescent="0.2">
      <c r="A28">
        <v>499</v>
      </c>
      <c r="B28" s="16">
        <v>0.45</v>
      </c>
      <c r="C28" s="16">
        <v>0.41</v>
      </c>
      <c r="D28" s="16">
        <v>0.4</v>
      </c>
      <c r="E28" s="16">
        <v>0.4</v>
      </c>
      <c r="F28" s="15">
        <f>AVERAGE(B28:E28)</f>
        <v>0.41500000000000004</v>
      </c>
    </row>
    <row r="29" spans="1:6" x14ac:dyDescent="0.2">
      <c r="A29">
        <v>1999</v>
      </c>
      <c r="B29" s="16">
        <v>0.22</v>
      </c>
      <c r="C29" s="16">
        <v>0.21</v>
      </c>
      <c r="D29" s="16">
        <v>0.18</v>
      </c>
      <c r="E29" s="16">
        <v>0.19</v>
      </c>
      <c r="F29" s="15">
        <f>AVERAGE(B29:E29)</f>
        <v>0.2</v>
      </c>
    </row>
    <row r="30" spans="1:6" x14ac:dyDescent="0.2">
      <c r="B30" t="s">
        <v>10</v>
      </c>
    </row>
    <row r="31" spans="1:6" x14ac:dyDescent="0.2">
      <c r="B31" t="s">
        <v>5</v>
      </c>
      <c r="C31" t="s">
        <v>6</v>
      </c>
      <c r="D31" t="s">
        <v>7</v>
      </c>
      <c r="E31" t="s">
        <v>8</v>
      </c>
    </row>
    <row r="32" spans="1:6" x14ac:dyDescent="0.2">
      <c r="A32">
        <v>499</v>
      </c>
      <c r="B32" s="16">
        <v>0.42</v>
      </c>
      <c r="C32" s="16">
        <v>0.35</v>
      </c>
      <c r="D32" s="16">
        <v>0.33</v>
      </c>
      <c r="E32" s="16">
        <v>0.38</v>
      </c>
      <c r="F32" s="15">
        <f>AVERAGE(B32:E32)</f>
        <v>0.37</v>
      </c>
    </row>
    <row r="33" spans="1:6" x14ac:dyDescent="0.2">
      <c r="A33">
        <v>1999</v>
      </c>
      <c r="B33" s="16">
        <v>0.19</v>
      </c>
      <c r="C33" s="16">
        <v>0.13</v>
      </c>
      <c r="D33" s="16">
        <v>0.15</v>
      </c>
      <c r="E33" s="16">
        <v>0.2</v>
      </c>
      <c r="F33" s="15">
        <f>AVERAGE(B33:E33)</f>
        <v>0.16749999999999998</v>
      </c>
    </row>
    <row r="34" spans="1:6" x14ac:dyDescent="0.2">
      <c r="B34" t="s">
        <v>11</v>
      </c>
    </row>
    <row r="35" spans="1:6" x14ac:dyDescent="0.2">
      <c r="B35" t="s">
        <v>5</v>
      </c>
      <c r="C35" t="s">
        <v>6</v>
      </c>
      <c r="D35" t="s">
        <v>7</v>
      </c>
      <c r="E35" t="s">
        <v>8</v>
      </c>
    </row>
    <row r="36" spans="1:6" x14ac:dyDescent="0.2">
      <c r="A36">
        <v>499</v>
      </c>
      <c r="B36" s="16">
        <v>0.32</v>
      </c>
      <c r="C36" s="16">
        <v>0.37</v>
      </c>
      <c r="D36" s="16">
        <v>0.4</v>
      </c>
      <c r="E36" s="16">
        <v>0.37</v>
      </c>
      <c r="F36" s="15">
        <f>AVERAGE(B36:E36)</f>
        <v>0.36499999999999999</v>
      </c>
    </row>
    <row r="37" spans="1:6" x14ac:dyDescent="0.2">
      <c r="A37">
        <v>1999</v>
      </c>
      <c r="B37" s="16">
        <v>0.12</v>
      </c>
      <c r="C37" s="16">
        <v>0.14000000000000001</v>
      </c>
      <c r="D37" s="16">
        <v>0.18</v>
      </c>
      <c r="E37" s="16">
        <v>0.17</v>
      </c>
      <c r="F37" s="15">
        <f>AVERAGE(B37:E37)</f>
        <v>0.1525</v>
      </c>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A726-1CBD-468F-8FBA-FB296A210B42}">
  <sheetPr codeName="Hoja3"/>
  <dimension ref="A3:U84"/>
  <sheetViews>
    <sheetView showGridLines="0" workbookViewId="0">
      <selection activeCell="B12" sqref="B12"/>
    </sheetView>
  </sheetViews>
  <sheetFormatPr baseColWidth="10" defaultColWidth="11.5" defaultRowHeight="15" outlineLevelCol="1" x14ac:dyDescent="0.2"/>
  <cols>
    <col min="3" max="3" width="2.5" customWidth="1"/>
    <col min="5" max="5" width="13.5" customWidth="1"/>
    <col min="6" max="6" width="15.5" customWidth="1"/>
    <col min="7" max="7" width="8.5" style="44" customWidth="1"/>
    <col min="8" max="11" width="7.5" style="11" customWidth="1" outlineLevel="1"/>
    <col min="12" max="12" width="8.5" style="11" customWidth="1"/>
    <col min="13" max="16" width="7.5" style="11" customWidth="1" outlineLevel="1"/>
    <col min="17" max="17" width="8.5" style="11" customWidth="1"/>
    <col min="18" max="21" width="7.5" style="11" customWidth="1" outlineLevel="1"/>
  </cols>
  <sheetData>
    <row r="3" spans="1:21" x14ac:dyDescent="0.2">
      <c r="E3" s="42" t="s">
        <v>12</v>
      </c>
      <c r="F3" s="42" t="s">
        <v>13</v>
      </c>
      <c r="G3" s="51">
        <v>2022</v>
      </c>
      <c r="H3" s="47" t="s">
        <v>14</v>
      </c>
      <c r="I3" s="47" t="s">
        <v>15</v>
      </c>
      <c r="J3" s="47" t="s">
        <v>16</v>
      </c>
      <c r="K3" s="47" t="s">
        <v>17</v>
      </c>
      <c r="L3" s="48">
        <v>2021</v>
      </c>
      <c r="M3" s="47" t="s">
        <v>14</v>
      </c>
      <c r="N3" s="47" t="s">
        <v>15</v>
      </c>
      <c r="O3" s="47" t="s">
        <v>16</v>
      </c>
      <c r="P3" s="47" t="s">
        <v>17</v>
      </c>
      <c r="Q3" s="48">
        <v>2020</v>
      </c>
      <c r="R3" s="47" t="s">
        <v>14</v>
      </c>
      <c r="S3" s="47" t="s">
        <v>15</v>
      </c>
      <c r="T3" s="47" t="s">
        <v>16</v>
      </c>
      <c r="U3" s="47" t="s">
        <v>17</v>
      </c>
    </row>
    <row r="4" spans="1:21" x14ac:dyDescent="0.2">
      <c r="A4" t="s">
        <v>12</v>
      </c>
      <c r="B4" s="50">
        <f>((B5/SUM(B5:B7))-(B7/SUM(B5:B7)))*100</f>
        <v>74.090909090909093</v>
      </c>
      <c r="D4" s="142" t="s">
        <v>18</v>
      </c>
      <c r="E4" s="45" t="s">
        <v>19</v>
      </c>
      <c r="F4" s="50">
        <f t="shared" ref="F4:U4" si="0">IFERROR((((F5/SUM(F5:F7))-(F7/SUM(F5:F7)))*100),"")</f>
        <v>70.27027027027026</v>
      </c>
      <c r="G4" s="50">
        <f t="shared" si="0"/>
        <v>61.764705882352942</v>
      </c>
      <c r="H4" s="50">
        <f t="shared" si="0"/>
        <v>61.764705882352942</v>
      </c>
      <c r="I4" s="50" t="str">
        <f t="shared" si="0"/>
        <v/>
      </c>
      <c r="J4" s="50" t="str">
        <f t="shared" si="0"/>
        <v/>
      </c>
      <c r="K4" s="50" t="str">
        <f t="shared" si="0"/>
        <v/>
      </c>
      <c r="L4" s="50" t="str">
        <f t="shared" si="0"/>
        <v/>
      </c>
      <c r="M4" s="50" t="str">
        <f t="shared" si="0"/>
        <v/>
      </c>
      <c r="N4" s="50" t="str">
        <f t="shared" si="0"/>
        <v/>
      </c>
      <c r="O4" s="50" t="str">
        <f t="shared" si="0"/>
        <v/>
      </c>
      <c r="P4" s="50" t="str">
        <f t="shared" si="0"/>
        <v/>
      </c>
      <c r="Q4" s="50">
        <f t="shared" si="0"/>
        <v>77.5</v>
      </c>
      <c r="R4" s="50" t="str">
        <f t="shared" si="0"/>
        <v/>
      </c>
      <c r="S4" s="50" t="str">
        <f t="shared" si="0"/>
        <v/>
      </c>
      <c r="T4" s="50">
        <f t="shared" si="0"/>
        <v>83.333333333333343</v>
      </c>
      <c r="U4" s="50">
        <f t="shared" si="0"/>
        <v>60</v>
      </c>
    </row>
    <row r="5" spans="1:21" x14ac:dyDescent="0.2">
      <c r="A5" t="s">
        <v>20</v>
      </c>
      <c r="B5">
        <f>F5+F9+F13</f>
        <v>169</v>
      </c>
      <c r="D5" s="143"/>
      <c r="E5" s="54" t="s">
        <v>20</v>
      </c>
      <c r="F5" s="1">
        <f>G5+L5+Q5</f>
        <v>55</v>
      </c>
      <c r="G5" s="49">
        <f>SUM(H5:K5)</f>
        <v>24</v>
      </c>
      <c r="H5" s="1">
        <v>24</v>
      </c>
      <c r="I5" s="1"/>
      <c r="J5" s="1"/>
      <c r="K5" s="1"/>
      <c r="L5" s="49"/>
      <c r="M5" s="1"/>
      <c r="N5" s="1"/>
      <c r="O5" s="1"/>
      <c r="P5" s="1"/>
      <c r="Q5" s="49">
        <f>SUM(R5:U5)</f>
        <v>31</v>
      </c>
      <c r="R5" s="1"/>
      <c r="S5" s="1"/>
      <c r="T5" s="1">
        <v>25</v>
      </c>
      <c r="U5" s="1">
        <v>6</v>
      </c>
    </row>
    <row r="6" spans="1:21" x14ac:dyDescent="0.2">
      <c r="A6" t="s">
        <v>21</v>
      </c>
      <c r="B6">
        <f>F6+F10+F14</f>
        <v>45</v>
      </c>
      <c r="D6" s="143"/>
      <c r="E6" s="55" t="s">
        <v>21</v>
      </c>
      <c r="F6" s="1">
        <f>G6+L6+Q6</f>
        <v>16</v>
      </c>
      <c r="G6" s="49">
        <f>SUM(H6:K6)</f>
        <v>7</v>
      </c>
      <c r="H6" s="1">
        <v>7</v>
      </c>
      <c r="I6" s="1"/>
      <c r="J6" s="1"/>
      <c r="K6" s="1"/>
      <c r="L6" s="49"/>
      <c r="M6" s="1"/>
      <c r="N6" s="1"/>
      <c r="O6" s="1"/>
      <c r="P6" s="1"/>
      <c r="Q6" s="49">
        <f>SUM(R6:U6)</f>
        <v>9</v>
      </c>
      <c r="R6" s="1"/>
      <c r="S6" s="1"/>
      <c r="T6" s="1">
        <v>5</v>
      </c>
      <c r="U6" s="1">
        <v>4</v>
      </c>
    </row>
    <row r="7" spans="1:21" x14ac:dyDescent="0.2">
      <c r="A7" t="s">
        <v>22</v>
      </c>
      <c r="B7">
        <f>F7+F11+F15</f>
        <v>6</v>
      </c>
      <c r="D7" s="143"/>
      <c r="E7" s="56" t="s">
        <v>22</v>
      </c>
      <c r="F7" s="1">
        <f>G7+L7+Q7</f>
        <v>3</v>
      </c>
      <c r="G7" s="49">
        <f>SUM(H7:K7)</f>
        <v>3</v>
      </c>
      <c r="H7" s="1">
        <v>3</v>
      </c>
      <c r="I7" s="1"/>
      <c r="J7" s="1"/>
      <c r="K7" s="1"/>
      <c r="L7" s="49"/>
      <c r="M7" s="1"/>
      <c r="N7" s="1"/>
      <c r="O7" s="1"/>
      <c r="P7" s="1"/>
      <c r="Q7" s="49">
        <f>SUM(R7:U7)</f>
        <v>0</v>
      </c>
      <c r="R7" s="1"/>
      <c r="S7" s="1"/>
      <c r="T7" s="1">
        <v>0</v>
      </c>
      <c r="U7" s="1">
        <v>0</v>
      </c>
    </row>
    <row r="8" spans="1:21" x14ac:dyDescent="0.2">
      <c r="D8" s="143"/>
      <c r="E8" s="45" t="s">
        <v>23</v>
      </c>
      <c r="F8" s="50">
        <f t="shared" ref="F8:U8" si="1">IFERROR((((F9/SUM(F9:F11))-(F11/SUM(F9:F11)))*100),"")</f>
        <v>89.215686274509807</v>
      </c>
      <c r="G8" s="50" t="str">
        <f t="shared" si="1"/>
        <v/>
      </c>
      <c r="H8" s="50" t="str">
        <f t="shared" si="1"/>
        <v/>
      </c>
      <c r="I8" s="50" t="str">
        <f t="shared" si="1"/>
        <v/>
      </c>
      <c r="J8" s="50" t="str">
        <f t="shared" si="1"/>
        <v/>
      </c>
      <c r="K8" s="50" t="str">
        <f t="shared" si="1"/>
        <v/>
      </c>
      <c r="L8" s="50">
        <f t="shared" si="1"/>
        <v>89.215686274509807</v>
      </c>
      <c r="M8" s="50" t="str">
        <f t="shared" si="1"/>
        <v/>
      </c>
      <c r="N8" s="50">
        <f t="shared" si="1"/>
        <v>89.215686274509807</v>
      </c>
      <c r="O8" s="50" t="str">
        <f t="shared" si="1"/>
        <v/>
      </c>
      <c r="P8" s="50" t="str">
        <f t="shared" si="1"/>
        <v/>
      </c>
      <c r="Q8" s="50" t="str">
        <f t="shared" si="1"/>
        <v/>
      </c>
      <c r="R8" s="50" t="str">
        <f t="shared" si="1"/>
        <v/>
      </c>
      <c r="S8" s="50" t="str">
        <f t="shared" si="1"/>
        <v/>
      </c>
      <c r="T8" s="50" t="str">
        <f t="shared" si="1"/>
        <v/>
      </c>
      <c r="U8" s="50" t="str">
        <f t="shared" si="1"/>
        <v/>
      </c>
    </row>
    <row r="9" spans="1:21" x14ac:dyDescent="0.2">
      <c r="D9" s="143"/>
      <c r="E9" s="54" t="s">
        <v>20</v>
      </c>
      <c r="F9" s="1">
        <f>G9+L9+Q9</f>
        <v>92</v>
      </c>
      <c r="G9" s="49"/>
      <c r="H9" s="1"/>
      <c r="I9" s="1"/>
      <c r="J9" s="1"/>
      <c r="K9" s="1"/>
      <c r="L9" s="49">
        <f>SUM(M9:P9)</f>
        <v>92</v>
      </c>
      <c r="M9" s="1"/>
      <c r="N9" s="1">
        <v>92</v>
      </c>
      <c r="O9" s="1"/>
      <c r="P9" s="1"/>
      <c r="Q9" s="49"/>
      <c r="R9" s="1"/>
      <c r="S9" s="1"/>
      <c r="T9" s="1"/>
      <c r="U9" s="1"/>
    </row>
    <row r="10" spans="1:21" x14ac:dyDescent="0.2">
      <c r="D10" s="143"/>
      <c r="E10" s="55" t="s">
        <v>21</v>
      </c>
      <c r="F10" s="1">
        <f>G10+L10+Q10</f>
        <v>9</v>
      </c>
      <c r="G10" s="49"/>
      <c r="H10" s="1"/>
      <c r="I10" s="1"/>
      <c r="J10" s="1"/>
      <c r="K10" s="1"/>
      <c r="L10" s="49">
        <f>SUM(M10:P10)</f>
        <v>9</v>
      </c>
      <c r="M10" s="1"/>
      <c r="N10" s="1">
        <v>9</v>
      </c>
      <c r="O10" s="1"/>
      <c r="P10" s="1"/>
      <c r="Q10" s="49"/>
      <c r="R10" s="1"/>
      <c r="S10" s="1"/>
      <c r="T10" s="1"/>
      <c r="U10" s="1"/>
    </row>
    <row r="11" spans="1:21" x14ac:dyDescent="0.2">
      <c r="D11" s="143"/>
      <c r="E11" s="56" t="s">
        <v>22</v>
      </c>
      <c r="F11" s="1">
        <f>G11+L11+Q11</f>
        <v>1</v>
      </c>
      <c r="G11" s="49"/>
      <c r="H11" s="1"/>
      <c r="I11" s="1"/>
      <c r="J11" s="1"/>
      <c r="K11" s="1"/>
      <c r="L11" s="49">
        <f>SUM(M11:P11)</f>
        <v>1</v>
      </c>
      <c r="M11" s="1"/>
      <c r="N11" s="1">
        <v>1</v>
      </c>
      <c r="O11" s="1"/>
      <c r="P11" s="1"/>
      <c r="Q11" s="49"/>
      <c r="R11" s="1"/>
      <c r="S11" s="1"/>
      <c r="T11" s="1"/>
      <c r="U11" s="1"/>
    </row>
    <row r="12" spans="1:21" x14ac:dyDescent="0.2">
      <c r="D12" s="143"/>
      <c r="E12" s="45" t="s">
        <v>24</v>
      </c>
      <c r="F12" s="50">
        <f t="shared" ref="F12:U12" si="2">IFERROR((((F13/SUM(F13:F15))-(F15/SUM(F13:F15)))*100),"")</f>
        <v>45.454545454545453</v>
      </c>
      <c r="G12" s="50" t="str">
        <f t="shared" si="2"/>
        <v/>
      </c>
      <c r="H12" s="50" t="str">
        <f t="shared" si="2"/>
        <v/>
      </c>
      <c r="I12" s="50" t="str">
        <f t="shared" si="2"/>
        <v/>
      </c>
      <c r="J12" s="50" t="str">
        <f t="shared" si="2"/>
        <v/>
      </c>
      <c r="K12" s="50" t="str">
        <f t="shared" si="2"/>
        <v/>
      </c>
      <c r="L12" s="50" t="str">
        <f t="shared" si="2"/>
        <v/>
      </c>
      <c r="M12" s="50" t="str">
        <f t="shared" si="2"/>
        <v/>
      </c>
      <c r="N12" s="50" t="str">
        <f t="shared" si="2"/>
        <v/>
      </c>
      <c r="O12" s="50" t="str">
        <f t="shared" si="2"/>
        <v/>
      </c>
      <c r="P12" s="50" t="str">
        <f t="shared" si="2"/>
        <v/>
      </c>
      <c r="Q12" s="50">
        <f t="shared" si="2"/>
        <v>45.454545454545453</v>
      </c>
      <c r="R12" s="50" t="str">
        <f t="shared" si="2"/>
        <v/>
      </c>
      <c r="S12" s="50">
        <f t="shared" si="2"/>
        <v>45.454545454545453</v>
      </c>
      <c r="T12" s="50" t="str">
        <f t="shared" si="2"/>
        <v/>
      </c>
      <c r="U12" s="50" t="str">
        <f t="shared" si="2"/>
        <v/>
      </c>
    </row>
    <row r="13" spans="1:21" x14ac:dyDescent="0.2">
      <c r="D13" s="143"/>
      <c r="E13" s="54" t="s">
        <v>20</v>
      </c>
      <c r="F13" s="1">
        <f>G13+L13+Q13</f>
        <v>22</v>
      </c>
      <c r="G13" s="49"/>
      <c r="H13" s="1"/>
      <c r="I13" s="1"/>
      <c r="J13" s="1"/>
      <c r="K13" s="1"/>
      <c r="L13" s="49"/>
      <c r="M13" s="1"/>
      <c r="N13" s="1"/>
      <c r="O13" s="1"/>
      <c r="P13" s="1"/>
      <c r="Q13" s="49">
        <f>SUM(R13:U13)</f>
        <v>22</v>
      </c>
      <c r="R13" s="1"/>
      <c r="S13" s="1">
        <v>22</v>
      </c>
      <c r="T13" s="1"/>
      <c r="U13" s="1"/>
    </row>
    <row r="14" spans="1:21" x14ac:dyDescent="0.2">
      <c r="D14" s="143"/>
      <c r="E14" s="55" t="s">
        <v>21</v>
      </c>
      <c r="F14" s="1">
        <f>G14+L14+Q14</f>
        <v>20</v>
      </c>
      <c r="G14" s="49"/>
      <c r="H14" s="1"/>
      <c r="I14" s="1"/>
      <c r="J14" s="1"/>
      <c r="K14" s="1"/>
      <c r="L14" s="49"/>
      <c r="M14" s="1"/>
      <c r="N14" s="1"/>
      <c r="O14" s="1"/>
      <c r="P14" s="1"/>
      <c r="Q14" s="49">
        <f>SUM(R14:U14)</f>
        <v>20</v>
      </c>
      <c r="R14" s="1"/>
      <c r="S14" s="1">
        <v>20</v>
      </c>
      <c r="T14" s="1"/>
      <c r="U14" s="1"/>
    </row>
    <row r="15" spans="1:21" x14ac:dyDescent="0.2">
      <c r="D15" s="144"/>
      <c r="E15" s="56" t="s">
        <v>22</v>
      </c>
      <c r="F15" s="1">
        <f>G15+L15+Q15</f>
        <v>2</v>
      </c>
      <c r="G15" s="49"/>
      <c r="H15" s="1"/>
      <c r="I15" s="1"/>
      <c r="J15" s="1"/>
      <c r="K15" s="1"/>
      <c r="L15" s="49"/>
      <c r="M15" s="1"/>
      <c r="N15" s="1"/>
      <c r="O15" s="1"/>
      <c r="P15" s="1"/>
      <c r="Q15" s="49">
        <f>SUM(R15:U15)</f>
        <v>2</v>
      </c>
      <c r="R15" s="1"/>
      <c r="S15" s="1">
        <v>2</v>
      </c>
      <c r="T15" s="1"/>
      <c r="U15" s="1"/>
    </row>
    <row r="16" spans="1:21" x14ac:dyDescent="0.2">
      <c r="D16" s="11"/>
      <c r="E16" s="53"/>
      <c r="F16" s="11"/>
    </row>
    <row r="17" spans="1:21" x14ac:dyDescent="0.2">
      <c r="D17" s="11"/>
      <c r="E17" s="53"/>
      <c r="F17" s="11"/>
    </row>
    <row r="19" spans="1:21" x14ac:dyDescent="0.2">
      <c r="E19" s="42" t="s">
        <v>12</v>
      </c>
      <c r="F19" s="42" t="s">
        <v>13</v>
      </c>
      <c r="G19" s="51">
        <v>2022</v>
      </c>
      <c r="H19" s="47" t="s">
        <v>14</v>
      </c>
      <c r="I19" s="47" t="s">
        <v>15</v>
      </c>
      <c r="J19" s="47" t="s">
        <v>16</v>
      </c>
      <c r="K19" s="47" t="s">
        <v>17</v>
      </c>
      <c r="L19" s="48">
        <v>2021</v>
      </c>
      <c r="M19" s="47" t="s">
        <v>14</v>
      </c>
      <c r="N19" s="47" t="s">
        <v>15</v>
      </c>
      <c r="O19" s="47" t="s">
        <v>16</v>
      </c>
      <c r="P19" s="47" t="s">
        <v>17</v>
      </c>
      <c r="Q19" s="48">
        <v>2020</v>
      </c>
      <c r="R19" s="47" t="s">
        <v>14</v>
      </c>
      <c r="S19" s="47" t="s">
        <v>15</v>
      </c>
      <c r="T19" s="47" t="s">
        <v>16</v>
      </c>
      <c r="U19" s="47" t="s">
        <v>17</v>
      </c>
    </row>
    <row r="20" spans="1:21" x14ac:dyDescent="0.2">
      <c r="A20" t="s">
        <v>12</v>
      </c>
      <c r="B20" s="50">
        <f>((B21/SUM(B21:B23))-(B23/SUM(B21:B23)))*100</f>
        <v>58.008075370121134</v>
      </c>
      <c r="D20" s="141" t="s">
        <v>25</v>
      </c>
      <c r="E20" s="46" t="s">
        <v>26</v>
      </c>
      <c r="F20" s="50">
        <f t="shared" ref="F20:U20" si="3">IFERROR((((F21/SUM(F21:F23))-(F23/SUM(F21:F23)))*100),"")</f>
        <v>57.721518987341767</v>
      </c>
      <c r="G20" s="50" t="str">
        <f t="shared" si="3"/>
        <v/>
      </c>
      <c r="H20" s="50" t="str">
        <f t="shared" si="3"/>
        <v/>
      </c>
      <c r="I20" s="50" t="str">
        <f t="shared" si="3"/>
        <v/>
      </c>
      <c r="J20" s="50" t="str">
        <f t="shared" si="3"/>
        <v/>
      </c>
      <c r="K20" s="50" t="str">
        <f t="shared" si="3"/>
        <v/>
      </c>
      <c r="L20" s="50">
        <f t="shared" si="3"/>
        <v>67.5</v>
      </c>
      <c r="M20" s="50">
        <f t="shared" si="3"/>
        <v>65.573770491803273</v>
      </c>
      <c r="N20" s="50">
        <f t="shared" si="3"/>
        <v>69.491525423728817</v>
      </c>
      <c r="O20" s="50" t="str">
        <f t="shared" si="3"/>
        <v/>
      </c>
      <c r="P20" s="50" t="str">
        <f t="shared" si="3"/>
        <v/>
      </c>
      <c r="Q20" s="50">
        <f t="shared" si="3"/>
        <v>53.454545454545446</v>
      </c>
      <c r="R20" s="50">
        <f t="shared" si="3"/>
        <v>57.74647887323944</v>
      </c>
      <c r="S20" s="50">
        <f t="shared" si="3"/>
        <v>66.666666666666671</v>
      </c>
      <c r="T20" s="50">
        <f t="shared" si="3"/>
        <v>49.333333333333336</v>
      </c>
      <c r="U20" s="50">
        <f t="shared" si="3"/>
        <v>39.682539682539684</v>
      </c>
    </row>
    <row r="21" spans="1:21" x14ac:dyDescent="0.2">
      <c r="A21" t="s">
        <v>20</v>
      </c>
      <c r="B21">
        <f>F21+F25+F29</f>
        <v>460</v>
      </c>
      <c r="D21" s="141"/>
      <c r="E21" s="54" t="s">
        <v>20</v>
      </c>
      <c r="F21" s="1">
        <f>G21+L21+Q21</f>
        <v>243</v>
      </c>
      <c r="G21" s="52"/>
      <c r="H21" s="1"/>
      <c r="I21" s="1"/>
      <c r="J21" s="1"/>
      <c r="K21" s="1"/>
      <c r="L21" s="49">
        <f>SUM(M21:P21)</f>
        <v>84</v>
      </c>
      <c r="M21" s="1">
        <v>42</v>
      </c>
      <c r="N21" s="1">
        <v>42</v>
      </c>
      <c r="O21" s="1"/>
      <c r="P21" s="1"/>
      <c r="Q21" s="49">
        <f>SUM(R21:U21)</f>
        <v>159</v>
      </c>
      <c r="R21" s="1">
        <v>42</v>
      </c>
      <c r="S21" s="1">
        <v>46</v>
      </c>
      <c r="T21" s="1">
        <v>40</v>
      </c>
      <c r="U21" s="1">
        <v>31</v>
      </c>
    </row>
    <row r="22" spans="1:21" x14ac:dyDescent="0.2">
      <c r="A22" t="s">
        <v>21</v>
      </c>
      <c r="B22">
        <f>F22+F26+F30</f>
        <v>254</v>
      </c>
      <c r="D22" s="141"/>
      <c r="E22" s="55" t="s">
        <v>21</v>
      </c>
      <c r="F22" s="1">
        <f>G22+L22+Q22</f>
        <v>137</v>
      </c>
      <c r="G22" s="52"/>
      <c r="H22" s="1"/>
      <c r="I22" s="1"/>
      <c r="J22" s="1"/>
      <c r="K22" s="1"/>
      <c r="L22" s="49">
        <f>SUM(M22:P22)</f>
        <v>33</v>
      </c>
      <c r="M22" s="1">
        <v>17</v>
      </c>
      <c r="N22" s="1">
        <v>16</v>
      </c>
      <c r="O22" s="1"/>
      <c r="P22" s="1"/>
      <c r="Q22" s="49">
        <f>SUM(R22:U22)</f>
        <v>104</v>
      </c>
      <c r="R22" s="1">
        <v>28</v>
      </c>
      <c r="S22" s="1">
        <v>18</v>
      </c>
      <c r="T22" s="1">
        <v>32</v>
      </c>
      <c r="U22" s="1">
        <v>26</v>
      </c>
    </row>
    <row r="23" spans="1:21" x14ac:dyDescent="0.2">
      <c r="A23" t="s">
        <v>22</v>
      </c>
      <c r="B23">
        <f>F23+F27+F31</f>
        <v>29</v>
      </c>
      <c r="D23" s="141"/>
      <c r="E23" s="56" t="s">
        <v>22</v>
      </c>
      <c r="F23" s="1">
        <f>G23+L23+Q23</f>
        <v>15</v>
      </c>
      <c r="G23" s="52"/>
      <c r="H23" s="1"/>
      <c r="I23" s="1"/>
      <c r="J23" s="1"/>
      <c r="K23" s="1"/>
      <c r="L23" s="49">
        <f>SUM(M23:P23)</f>
        <v>3</v>
      </c>
      <c r="M23" s="1">
        <v>2</v>
      </c>
      <c r="N23" s="1">
        <v>1</v>
      </c>
      <c r="O23" s="1"/>
      <c r="P23" s="1"/>
      <c r="Q23" s="49">
        <f>SUM(R23:U23)</f>
        <v>12</v>
      </c>
      <c r="R23" s="1">
        <v>1</v>
      </c>
      <c r="S23" s="1">
        <v>2</v>
      </c>
      <c r="T23" s="1">
        <v>3</v>
      </c>
      <c r="U23" s="1">
        <v>6</v>
      </c>
    </row>
    <row r="24" spans="1:21" x14ac:dyDescent="0.2">
      <c r="D24" s="141"/>
      <c r="E24" s="46" t="s">
        <v>27</v>
      </c>
      <c r="F24" s="50">
        <f t="shared" ref="F24:U24" si="4">IFERROR((((F25/SUM(F25:F27))-(F27/SUM(F25:F27)))*100),"")</f>
        <v>57.225433526011557</v>
      </c>
      <c r="G24" s="50" t="str">
        <f t="shared" si="4"/>
        <v/>
      </c>
      <c r="H24" s="50" t="str">
        <f t="shared" si="4"/>
        <v/>
      </c>
      <c r="I24" s="50" t="str">
        <f t="shared" si="4"/>
        <v/>
      </c>
      <c r="J24" s="50" t="str">
        <f t="shared" si="4"/>
        <v/>
      </c>
      <c r="K24" s="50" t="str">
        <f t="shared" si="4"/>
        <v/>
      </c>
      <c r="L24" s="50">
        <f t="shared" si="4"/>
        <v>61.53846153846154</v>
      </c>
      <c r="M24" s="50">
        <f t="shared" si="4"/>
        <v>62.5</v>
      </c>
      <c r="N24" s="50">
        <f t="shared" si="4"/>
        <v>60</v>
      </c>
      <c r="O24" s="50" t="str">
        <f t="shared" si="4"/>
        <v/>
      </c>
      <c r="P24" s="50" t="str">
        <f t="shared" si="4"/>
        <v/>
      </c>
      <c r="Q24" s="50">
        <f t="shared" si="4"/>
        <v>54.629629629629626</v>
      </c>
      <c r="R24" s="50">
        <f t="shared" si="4"/>
        <v>66.666666666666657</v>
      </c>
      <c r="S24" s="50">
        <f t="shared" si="4"/>
        <v>50</v>
      </c>
      <c r="T24" s="50">
        <f t="shared" si="4"/>
        <v>58.620689655172406</v>
      </c>
      <c r="U24" s="50">
        <f t="shared" si="4"/>
        <v>44.000000000000007</v>
      </c>
    </row>
    <row r="25" spans="1:21" x14ac:dyDescent="0.2">
      <c r="D25" s="141"/>
      <c r="E25" s="54" t="s">
        <v>20</v>
      </c>
      <c r="F25" s="1">
        <f>G25+L25+Q25</f>
        <v>107</v>
      </c>
      <c r="G25" s="52"/>
      <c r="H25" s="1"/>
      <c r="I25" s="1"/>
      <c r="J25" s="1"/>
      <c r="K25" s="1"/>
      <c r="L25" s="49">
        <f>SUM(M25:P25)</f>
        <v>43</v>
      </c>
      <c r="M25" s="1">
        <v>27</v>
      </c>
      <c r="N25" s="1">
        <v>16</v>
      </c>
      <c r="O25" s="1"/>
      <c r="P25" s="1"/>
      <c r="Q25" s="49">
        <f>SUM(R25:U25)</f>
        <v>64</v>
      </c>
      <c r="R25" s="1">
        <v>16</v>
      </c>
      <c r="S25" s="1">
        <v>17</v>
      </c>
      <c r="T25" s="1">
        <v>17</v>
      </c>
      <c r="U25" s="1">
        <v>14</v>
      </c>
    </row>
    <row r="26" spans="1:21" x14ac:dyDescent="0.2">
      <c r="D26" s="141"/>
      <c r="E26" s="55" t="s">
        <v>21</v>
      </c>
      <c r="F26" s="1">
        <f>G26+L26+Q26</f>
        <v>58</v>
      </c>
      <c r="G26" s="52"/>
      <c r="H26" s="1"/>
      <c r="I26" s="1"/>
      <c r="J26" s="1"/>
      <c r="K26" s="1"/>
      <c r="L26" s="49">
        <f>SUM(M26:P26)</f>
        <v>19</v>
      </c>
      <c r="M26" s="1">
        <v>11</v>
      </c>
      <c r="N26" s="1">
        <v>8</v>
      </c>
      <c r="O26" s="1"/>
      <c r="P26" s="1"/>
      <c r="Q26" s="49">
        <f>SUM(R26:U26)</f>
        <v>39</v>
      </c>
      <c r="R26" s="1">
        <v>8</v>
      </c>
      <c r="S26" s="1">
        <v>11</v>
      </c>
      <c r="T26" s="1">
        <v>12</v>
      </c>
      <c r="U26" s="1">
        <v>8</v>
      </c>
    </row>
    <row r="27" spans="1:21" x14ac:dyDescent="0.2">
      <c r="D27" s="141"/>
      <c r="E27" s="56" t="s">
        <v>22</v>
      </c>
      <c r="F27" s="1">
        <f>G27+L27+Q27</f>
        <v>8</v>
      </c>
      <c r="G27" s="52"/>
      <c r="H27" s="1"/>
      <c r="I27" s="1"/>
      <c r="J27" s="1"/>
      <c r="K27" s="1"/>
      <c r="L27" s="49">
        <f>SUM(M27:P27)</f>
        <v>3</v>
      </c>
      <c r="M27" s="1">
        <v>2</v>
      </c>
      <c r="N27" s="1">
        <v>1</v>
      </c>
      <c r="O27" s="1"/>
      <c r="P27" s="1"/>
      <c r="Q27" s="49">
        <f>SUM(R27:U27)</f>
        <v>5</v>
      </c>
      <c r="R27" s="1">
        <v>0</v>
      </c>
      <c r="S27" s="1">
        <v>2</v>
      </c>
      <c r="T27" s="1">
        <v>0</v>
      </c>
      <c r="U27" s="1">
        <v>3</v>
      </c>
    </row>
    <row r="28" spans="1:21" x14ac:dyDescent="0.2">
      <c r="D28" s="141"/>
      <c r="E28" s="46" t="s">
        <v>28</v>
      </c>
      <c r="F28" s="50">
        <f t="shared" ref="F28:U28" si="5">IFERROR((((F29/SUM(F29:F31))-(F31/SUM(F29:F31)))*100),"")</f>
        <v>59.428571428571431</v>
      </c>
      <c r="G28" s="50" t="str">
        <f t="shared" si="5"/>
        <v/>
      </c>
      <c r="H28" s="50" t="str">
        <f t="shared" si="5"/>
        <v/>
      </c>
      <c r="I28" s="50" t="str">
        <f t="shared" si="5"/>
        <v/>
      </c>
      <c r="J28" s="50" t="str">
        <f t="shared" si="5"/>
        <v/>
      </c>
      <c r="K28" s="50" t="str">
        <f t="shared" si="5"/>
        <v/>
      </c>
      <c r="L28" s="50">
        <f t="shared" si="5"/>
        <v>74.545454545454547</v>
      </c>
      <c r="M28" s="50">
        <f t="shared" si="5"/>
        <v>71.428571428571431</v>
      </c>
      <c r="N28" s="50">
        <f t="shared" si="5"/>
        <v>76.470588235294116</v>
      </c>
      <c r="O28" s="50" t="str">
        <f t="shared" si="5"/>
        <v/>
      </c>
      <c r="P28" s="50" t="str">
        <f t="shared" si="5"/>
        <v/>
      </c>
      <c r="Q28" s="50">
        <f t="shared" si="5"/>
        <v>52.499999999999993</v>
      </c>
      <c r="R28" s="50" t="str">
        <f t="shared" si="5"/>
        <v/>
      </c>
      <c r="S28" s="50">
        <f t="shared" si="5"/>
        <v>80.555555555555557</v>
      </c>
      <c r="T28" s="50">
        <f t="shared" si="5"/>
        <v>43.478260869565219</v>
      </c>
      <c r="U28" s="50">
        <f t="shared" si="5"/>
        <v>36.842105263157897</v>
      </c>
    </row>
    <row r="29" spans="1:21" x14ac:dyDescent="0.2">
      <c r="D29" s="141"/>
      <c r="E29" s="54" t="s">
        <v>20</v>
      </c>
      <c r="F29" s="1">
        <f>G29+L29+Q29</f>
        <v>110</v>
      </c>
      <c r="G29" s="52"/>
      <c r="H29" s="1"/>
      <c r="I29" s="1"/>
      <c r="J29" s="1"/>
      <c r="K29" s="1"/>
      <c r="L29" s="49">
        <f>SUM(M29:P29)</f>
        <v>41</v>
      </c>
      <c r="M29" s="1">
        <v>15</v>
      </c>
      <c r="N29" s="1">
        <v>26</v>
      </c>
      <c r="O29" s="1"/>
      <c r="P29" s="1"/>
      <c r="Q29" s="49">
        <f>SUM(R29:U29)</f>
        <v>69</v>
      </c>
      <c r="R29" s="1"/>
      <c r="S29" s="1">
        <v>29</v>
      </c>
      <c r="T29" s="1">
        <v>23</v>
      </c>
      <c r="U29" s="1">
        <v>17</v>
      </c>
    </row>
    <row r="30" spans="1:21" x14ac:dyDescent="0.2">
      <c r="D30" s="141"/>
      <c r="E30" s="55" t="s">
        <v>21</v>
      </c>
      <c r="F30" s="1">
        <f>G30+L30+Q30</f>
        <v>59</v>
      </c>
      <c r="G30" s="52"/>
      <c r="H30" s="1"/>
      <c r="I30" s="1"/>
      <c r="J30" s="1"/>
      <c r="K30" s="1"/>
      <c r="L30" s="49">
        <f>SUM(M30:P30)</f>
        <v>14</v>
      </c>
      <c r="M30" s="1">
        <v>6</v>
      </c>
      <c r="N30" s="1">
        <v>8</v>
      </c>
      <c r="O30" s="1"/>
      <c r="P30" s="1"/>
      <c r="Q30" s="49">
        <f>SUM(R30:U30)</f>
        <v>45</v>
      </c>
      <c r="R30" s="1"/>
      <c r="S30" s="1">
        <v>7</v>
      </c>
      <c r="T30" s="1">
        <v>20</v>
      </c>
      <c r="U30" s="1">
        <v>18</v>
      </c>
    </row>
    <row r="31" spans="1:21" x14ac:dyDescent="0.2">
      <c r="D31" s="141"/>
      <c r="E31" s="56" t="s">
        <v>22</v>
      </c>
      <c r="F31" s="1">
        <f>G31+L31+Q31</f>
        <v>6</v>
      </c>
      <c r="G31" s="52"/>
      <c r="H31" s="1"/>
      <c r="I31" s="1"/>
      <c r="J31" s="1"/>
      <c r="K31" s="1"/>
      <c r="L31" s="49">
        <f>SUM(M31:P31)</f>
        <v>0</v>
      </c>
      <c r="M31" s="1">
        <v>0</v>
      </c>
      <c r="N31" s="1">
        <v>0</v>
      </c>
      <c r="O31" s="1"/>
      <c r="P31" s="1"/>
      <c r="Q31" s="49">
        <f>SUM(R31:U31)</f>
        <v>6</v>
      </c>
      <c r="R31" s="1"/>
      <c r="S31" s="1">
        <v>0</v>
      </c>
      <c r="T31" s="1">
        <v>3</v>
      </c>
      <c r="U31" s="1">
        <v>3</v>
      </c>
    </row>
    <row r="34" spans="1:21" x14ac:dyDescent="0.2">
      <c r="E34" s="42" t="s">
        <v>12</v>
      </c>
      <c r="F34" s="42" t="s">
        <v>13</v>
      </c>
      <c r="G34" s="51">
        <v>2022</v>
      </c>
      <c r="H34" s="47" t="s">
        <v>14</v>
      </c>
      <c r="I34" s="47" t="s">
        <v>15</v>
      </c>
      <c r="J34" s="47" t="s">
        <v>16</v>
      </c>
      <c r="K34" s="47" t="s">
        <v>17</v>
      </c>
      <c r="L34" s="48">
        <v>2021</v>
      </c>
      <c r="M34" s="47" t="s">
        <v>14</v>
      </c>
      <c r="N34" s="47" t="s">
        <v>15</v>
      </c>
      <c r="O34" s="47" t="s">
        <v>16</v>
      </c>
      <c r="P34" s="47" t="s">
        <v>17</v>
      </c>
      <c r="Q34" s="48">
        <v>2020</v>
      </c>
      <c r="R34" s="47" t="s">
        <v>14</v>
      </c>
      <c r="S34" s="47" t="s">
        <v>15</v>
      </c>
      <c r="T34" s="47" t="s">
        <v>16</v>
      </c>
      <c r="U34" s="47" t="s">
        <v>17</v>
      </c>
    </row>
    <row r="35" spans="1:21" x14ac:dyDescent="0.2">
      <c r="A35" t="s">
        <v>12</v>
      </c>
      <c r="B35" s="50">
        <f>((B36/SUM(B36:B38))-(B38/SUM(B36:B38)))*100</f>
        <v>86.03688370342492</v>
      </c>
      <c r="D35" s="142" t="s">
        <v>0</v>
      </c>
      <c r="E35" s="46" t="s">
        <v>29</v>
      </c>
      <c r="F35" s="50">
        <f t="shared" ref="F35:U35" si="6">IFERROR((((F36/SUM(F36:F38))-(F38/SUM(F36:F38)))*100),"")</f>
        <v>77.066666666666677</v>
      </c>
      <c r="G35" s="50" t="str">
        <f t="shared" si="6"/>
        <v/>
      </c>
      <c r="H35" s="50" t="str">
        <f t="shared" si="6"/>
        <v/>
      </c>
      <c r="I35" s="50" t="str">
        <f t="shared" si="6"/>
        <v/>
      </c>
      <c r="J35" s="50" t="str">
        <f t="shared" si="6"/>
        <v/>
      </c>
      <c r="K35" s="50" t="str">
        <f t="shared" si="6"/>
        <v/>
      </c>
      <c r="L35" s="50" t="str">
        <f t="shared" si="6"/>
        <v/>
      </c>
      <c r="M35" s="50" t="str">
        <f t="shared" si="6"/>
        <v/>
      </c>
      <c r="N35" s="50" t="str">
        <f t="shared" si="6"/>
        <v/>
      </c>
      <c r="O35" s="50" t="str">
        <f t="shared" si="6"/>
        <v/>
      </c>
      <c r="P35" s="50" t="str">
        <f t="shared" si="6"/>
        <v/>
      </c>
      <c r="Q35" s="50">
        <f t="shared" si="6"/>
        <v>77.066666666666677</v>
      </c>
      <c r="R35" s="50">
        <f t="shared" si="6"/>
        <v>80.512820512820511</v>
      </c>
      <c r="S35" s="50">
        <f t="shared" si="6"/>
        <v>73.333333333333329</v>
      </c>
      <c r="T35" s="50" t="str">
        <f t="shared" si="6"/>
        <v/>
      </c>
      <c r="U35" s="50" t="str">
        <f t="shared" si="6"/>
        <v/>
      </c>
    </row>
    <row r="36" spans="1:21" x14ac:dyDescent="0.2">
      <c r="A36" t="s">
        <v>20</v>
      </c>
      <c r="B36">
        <f>F36+F40+F44</f>
        <v>2350</v>
      </c>
      <c r="D36" s="143"/>
      <c r="E36" s="54" t="s">
        <v>20</v>
      </c>
      <c r="F36" s="1">
        <f>G36+L36+Q36</f>
        <v>311</v>
      </c>
      <c r="G36" s="52"/>
      <c r="H36" s="1"/>
      <c r="I36" s="1"/>
      <c r="J36" s="1"/>
      <c r="K36" s="1"/>
      <c r="L36" s="49">
        <f>SUM(M36:P36)</f>
        <v>0</v>
      </c>
      <c r="M36" s="1"/>
      <c r="N36" s="1"/>
      <c r="O36" s="1"/>
      <c r="P36" s="1"/>
      <c r="Q36" s="49">
        <f>SUM(R36:U36)</f>
        <v>311</v>
      </c>
      <c r="R36" s="1">
        <v>164</v>
      </c>
      <c r="S36" s="1">
        <v>147</v>
      </c>
      <c r="T36" s="1"/>
      <c r="U36" s="1"/>
    </row>
    <row r="37" spans="1:21" x14ac:dyDescent="0.2">
      <c r="A37" t="s">
        <v>21</v>
      </c>
      <c r="B37">
        <f>F37+F41+F45</f>
        <v>243</v>
      </c>
      <c r="D37" s="143"/>
      <c r="E37" s="55" t="s">
        <v>21</v>
      </c>
      <c r="F37" s="1">
        <f>G37+L37+Q37</f>
        <v>42</v>
      </c>
      <c r="G37" s="52"/>
      <c r="H37" s="1"/>
      <c r="I37" s="1"/>
      <c r="J37" s="1"/>
      <c r="K37" s="1"/>
      <c r="L37" s="49">
        <f>SUM(M37:P37)</f>
        <v>0</v>
      </c>
      <c r="M37" s="1"/>
      <c r="N37" s="1"/>
      <c r="O37" s="1"/>
      <c r="P37" s="1"/>
      <c r="Q37" s="49">
        <f>SUM(R37:U37)</f>
        <v>42</v>
      </c>
      <c r="R37" s="1">
        <v>24</v>
      </c>
      <c r="S37" s="1">
        <v>18</v>
      </c>
      <c r="T37" s="1"/>
      <c r="U37" s="1"/>
    </row>
    <row r="38" spans="1:21" x14ac:dyDescent="0.2">
      <c r="A38" t="s">
        <v>22</v>
      </c>
      <c r="B38">
        <f>F38+F42+F46</f>
        <v>64</v>
      </c>
      <c r="D38" s="143"/>
      <c r="E38" s="56" t="s">
        <v>22</v>
      </c>
      <c r="F38" s="1">
        <f>G38+L38+Q38</f>
        <v>22</v>
      </c>
      <c r="G38" s="52"/>
      <c r="H38" s="1"/>
      <c r="I38" s="1"/>
      <c r="J38" s="1"/>
      <c r="K38" s="1"/>
      <c r="L38" s="49">
        <f>SUM(M38:P38)</f>
        <v>0</v>
      </c>
      <c r="M38" s="1"/>
      <c r="N38" s="1"/>
      <c r="O38" s="1"/>
      <c r="P38" s="1"/>
      <c r="Q38" s="49">
        <f>SUM(R38:U38)</f>
        <v>22</v>
      </c>
      <c r="R38" s="1">
        <v>7</v>
      </c>
      <c r="S38" s="1">
        <v>15</v>
      </c>
      <c r="T38" s="1"/>
      <c r="U38" s="1"/>
    </row>
    <row r="39" spans="1:21" x14ac:dyDescent="0.2">
      <c r="D39" s="143"/>
      <c r="E39" s="46" t="s">
        <v>30</v>
      </c>
      <c r="F39" s="50">
        <f t="shared" ref="F39:U39" si="7">IFERROR((((F40/SUM(F40:F42))-(F42/SUM(F40:F42)))*100),"")</f>
        <v>88.099173553719012</v>
      </c>
      <c r="G39" s="50" t="str">
        <f t="shared" si="7"/>
        <v/>
      </c>
      <c r="H39" s="50" t="str">
        <f t="shared" si="7"/>
        <v/>
      </c>
      <c r="I39" s="50" t="str">
        <f t="shared" si="7"/>
        <v/>
      </c>
      <c r="J39" s="50" t="str">
        <f t="shared" si="7"/>
        <v/>
      </c>
      <c r="K39" s="50" t="str">
        <f t="shared" si="7"/>
        <v/>
      </c>
      <c r="L39" s="50" t="str">
        <f t="shared" si="7"/>
        <v/>
      </c>
      <c r="M39" s="50" t="str">
        <f t="shared" si="7"/>
        <v/>
      </c>
      <c r="N39" s="50" t="str">
        <f t="shared" si="7"/>
        <v/>
      </c>
      <c r="O39" s="50" t="str">
        <f t="shared" si="7"/>
        <v/>
      </c>
      <c r="P39" s="50" t="str">
        <f t="shared" si="7"/>
        <v/>
      </c>
      <c r="Q39" s="50">
        <f t="shared" si="7"/>
        <v>88.099173553719012</v>
      </c>
      <c r="R39" s="50" t="str">
        <f t="shared" si="7"/>
        <v/>
      </c>
      <c r="S39" s="50" t="str">
        <f t="shared" si="7"/>
        <v/>
      </c>
      <c r="T39" s="50">
        <f t="shared" si="7"/>
        <v>88.099173553719012</v>
      </c>
      <c r="U39" s="50" t="str">
        <f t="shared" si="7"/>
        <v/>
      </c>
    </row>
    <row r="40" spans="1:21" x14ac:dyDescent="0.2">
      <c r="D40" s="143"/>
      <c r="E40" s="54" t="s">
        <v>20</v>
      </c>
      <c r="F40" s="1">
        <f>G40+L40+Q40</f>
        <v>551</v>
      </c>
      <c r="G40" s="52"/>
      <c r="H40" s="1"/>
      <c r="I40" s="1"/>
      <c r="J40" s="1"/>
      <c r="K40" s="1"/>
      <c r="L40" s="49">
        <f>SUM(M40:P40)</f>
        <v>0</v>
      </c>
      <c r="M40" s="1"/>
      <c r="N40" s="1"/>
      <c r="O40" s="1"/>
      <c r="P40" s="1"/>
      <c r="Q40" s="49">
        <f>SUM(R40:U40)</f>
        <v>551</v>
      </c>
      <c r="R40" s="1"/>
      <c r="S40" s="1"/>
      <c r="T40" s="1">
        <v>551</v>
      </c>
      <c r="U40" s="1"/>
    </row>
    <row r="41" spans="1:21" x14ac:dyDescent="0.2">
      <c r="D41" s="143"/>
      <c r="E41" s="55" t="s">
        <v>21</v>
      </c>
      <c r="F41" s="1">
        <f>G41+L41+Q41</f>
        <v>36</v>
      </c>
      <c r="G41" s="52"/>
      <c r="H41" s="1"/>
      <c r="I41" s="1"/>
      <c r="J41" s="1"/>
      <c r="K41" s="1"/>
      <c r="L41" s="49">
        <f>SUM(M41:P41)</f>
        <v>0</v>
      </c>
      <c r="M41" s="1"/>
      <c r="N41" s="1"/>
      <c r="O41" s="1"/>
      <c r="P41" s="1"/>
      <c r="Q41" s="49">
        <f>SUM(R41:U41)</f>
        <v>36</v>
      </c>
      <c r="R41" s="1"/>
      <c r="S41" s="1"/>
      <c r="T41" s="1">
        <v>36</v>
      </c>
      <c r="U41" s="1"/>
    </row>
    <row r="42" spans="1:21" x14ac:dyDescent="0.2">
      <c r="D42" s="143"/>
      <c r="E42" s="56" t="s">
        <v>22</v>
      </c>
      <c r="F42" s="1">
        <f>G42+L42+Q42</f>
        <v>18</v>
      </c>
      <c r="G42" s="52"/>
      <c r="H42" s="1"/>
      <c r="I42" s="1"/>
      <c r="J42" s="1"/>
      <c r="K42" s="1"/>
      <c r="L42" s="49">
        <f>SUM(M42:P42)</f>
        <v>0</v>
      </c>
      <c r="M42" s="1"/>
      <c r="N42" s="1"/>
      <c r="O42" s="1"/>
      <c r="P42" s="1"/>
      <c r="Q42" s="49">
        <f>SUM(R42:U42)</f>
        <v>18</v>
      </c>
      <c r="R42" s="1"/>
      <c r="S42" s="1"/>
      <c r="T42" s="1">
        <v>18</v>
      </c>
      <c r="U42" s="1"/>
    </row>
    <row r="43" spans="1:21" x14ac:dyDescent="0.2">
      <c r="D43" s="143"/>
      <c r="E43" s="46" t="s">
        <v>0</v>
      </c>
      <c r="F43" s="50">
        <f t="shared" ref="F43:U43" si="8">IFERROR((((F44/SUM(F44:F46))-(F46/SUM(F44:F46)))*100),"")</f>
        <v>87.298747763864043</v>
      </c>
      <c r="G43" s="50" t="str">
        <f t="shared" si="8"/>
        <v/>
      </c>
      <c r="H43" s="50" t="str">
        <f t="shared" si="8"/>
        <v/>
      </c>
      <c r="I43" s="50" t="str">
        <f t="shared" si="8"/>
        <v/>
      </c>
      <c r="J43" s="50" t="str">
        <f t="shared" si="8"/>
        <v/>
      </c>
      <c r="K43" s="50" t="str">
        <f t="shared" si="8"/>
        <v/>
      </c>
      <c r="L43" s="50">
        <f t="shared" si="8"/>
        <v>86.847014925373131</v>
      </c>
      <c r="M43" s="50">
        <f t="shared" si="8"/>
        <v>93.5</v>
      </c>
      <c r="N43" s="50">
        <f t="shared" si="8"/>
        <v>80.526315789473685</v>
      </c>
      <c r="O43" s="50" t="str">
        <f t="shared" si="8"/>
        <v/>
      </c>
      <c r="P43" s="50">
        <f t="shared" si="8"/>
        <v>69.565217391304344</v>
      </c>
      <c r="Q43" s="50">
        <f t="shared" si="8"/>
        <v>88.099173553719012</v>
      </c>
      <c r="R43" s="50" t="str">
        <f t="shared" si="8"/>
        <v/>
      </c>
      <c r="S43" s="50" t="str">
        <f t="shared" si="8"/>
        <v/>
      </c>
      <c r="T43" s="50">
        <f t="shared" si="8"/>
        <v>88.099173553719012</v>
      </c>
      <c r="U43" s="50" t="str">
        <f t="shared" si="8"/>
        <v/>
      </c>
    </row>
    <row r="44" spans="1:21" x14ac:dyDescent="0.2">
      <c r="D44" s="143"/>
      <c r="E44" s="54" t="s">
        <v>20</v>
      </c>
      <c r="F44" s="1">
        <f>G44+L44+Q44</f>
        <v>1488</v>
      </c>
      <c r="G44" s="52"/>
      <c r="H44" s="1"/>
      <c r="I44" s="1"/>
      <c r="J44" s="1"/>
      <c r="K44" s="1"/>
      <c r="L44" s="49">
        <f>SUM(M44:P44)</f>
        <v>937</v>
      </c>
      <c r="M44" s="1">
        <v>561</v>
      </c>
      <c r="N44" s="1">
        <v>307</v>
      </c>
      <c r="O44" s="1"/>
      <c r="P44" s="1">
        <v>69</v>
      </c>
      <c r="Q44" s="49">
        <f>SUM(R44:U44)</f>
        <v>551</v>
      </c>
      <c r="R44" s="1"/>
      <c r="S44" s="1"/>
      <c r="T44" s="1">
        <v>551</v>
      </c>
      <c r="U44" s="1"/>
    </row>
    <row r="45" spans="1:21" x14ac:dyDescent="0.2">
      <c r="D45" s="143"/>
      <c r="E45" s="55" t="s">
        <v>21</v>
      </c>
      <c r="F45" s="1">
        <f>G45+L45+Q45</f>
        <v>165</v>
      </c>
      <c r="G45" s="52"/>
      <c r="H45" s="1"/>
      <c r="I45" s="1"/>
      <c r="J45" s="1"/>
      <c r="K45" s="1"/>
      <c r="L45" s="49">
        <f>SUM(M45:P45)</f>
        <v>129</v>
      </c>
      <c r="M45" s="1">
        <v>39</v>
      </c>
      <c r="N45" s="1">
        <v>72</v>
      </c>
      <c r="O45" s="1"/>
      <c r="P45" s="1">
        <v>18</v>
      </c>
      <c r="Q45" s="49">
        <f>SUM(R45:U45)</f>
        <v>36</v>
      </c>
      <c r="R45" s="1"/>
      <c r="S45" s="1"/>
      <c r="T45" s="1">
        <v>36</v>
      </c>
      <c r="U45" s="1"/>
    </row>
    <row r="46" spans="1:21" x14ac:dyDescent="0.2">
      <c r="D46" s="144"/>
      <c r="E46" s="56" t="s">
        <v>22</v>
      </c>
      <c r="F46" s="1">
        <f>G46+L46+Q46</f>
        <v>24</v>
      </c>
      <c r="G46" s="52"/>
      <c r="H46" s="1"/>
      <c r="I46" s="1"/>
      <c r="J46" s="1"/>
      <c r="K46" s="1"/>
      <c r="L46" s="49">
        <f>SUM(M46:P46)</f>
        <v>6</v>
      </c>
      <c r="M46" s="1"/>
      <c r="N46" s="1">
        <v>1</v>
      </c>
      <c r="O46" s="1"/>
      <c r="P46" s="1">
        <v>5</v>
      </c>
      <c r="Q46" s="49">
        <f>SUM(R46:U46)</f>
        <v>18</v>
      </c>
      <c r="R46" s="1"/>
      <c r="S46" s="1"/>
      <c r="T46" s="1">
        <v>18</v>
      </c>
      <c r="U46" s="1"/>
    </row>
    <row r="49" spans="1:21" x14ac:dyDescent="0.2">
      <c r="E49" s="42" t="s">
        <v>12</v>
      </c>
      <c r="F49" s="42" t="s">
        <v>13</v>
      </c>
      <c r="G49" s="51">
        <v>2022</v>
      </c>
      <c r="H49" s="47" t="s">
        <v>14</v>
      </c>
      <c r="I49" s="47" t="s">
        <v>15</v>
      </c>
      <c r="J49" s="47" t="s">
        <v>16</v>
      </c>
      <c r="K49" s="47" t="s">
        <v>17</v>
      </c>
      <c r="L49" s="48">
        <v>2021</v>
      </c>
      <c r="M49" s="47" t="s">
        <v>14</v>
      </c>
      <c r="N49" s="47" t="s">
        <v>15</v>
      </c>
      <c r="O49" s="47" t="s">
        <v>16</v>
      </c>
      <c r="P49" s="47" t="s">
        <v>17</v>
      </c>
      <c r="Q49" s="48">
        <v>2020</v>
      </c>
      <c r="R49" s="47" t="s">
        <v>14</v>
      </c>
      <c r="S49" s="47" t="s">
        <v>15</v>
      </c>
      <c r="T49" s="47" t="s">
        <v>16</v>
      </c>
      <c r="U49" s="47" t="s">
        <v>17</v>
      </c>
    </row>
    <row r="50" spans="1:21" x14ac:dyDescent="0.2">
      <c r="A50" t="s">
        <v>12</v>
      </c>
      <c r="B50" s="50">
        <f>((B51/SUM(B51:B53))-(B53/SUM(B51:B53)))*100</f>
        <v>67.272727272727266</v>
      </c>
      <c r="D50" s="141" t="s">
        <v>31</v>
      </c>
      <c r="E50" s="46" t="s">
        <v>32</v>
      </c>
      <c r="F50" s="50">
        <f t="shared" ref="F50:U50" si="9">IFERROR((((F51/SUM(F51:F53))-(F53/SUM(F51:F53)))*100),"")</f>
        <v>100</v>
      </c>
      <c r="G50" s="50" t="str">
        <f t="shared" si="9"/>
        <v/>
      </c>
      <c r="H50" s="50" t="str">
        <f t="shared" si="9"/>
        <v/>
      </c>
      <c r="I50" s="50" t="str">
        <f t="shared" si="9"/>
        <v/>
      </c>
      <c r="J50" s="50" t="str">
        <f t="shared" si="9"/>
        <v/>
      </c>
      <c r="K50" s="50" t="str">
        <f t="shared" si="9"/>
        <v/>
      </c>
      <c r="L50" s="50">
        <f t="shared" si="9"/>
        <v>100</v>
      </c>
      <c r="M50" s="50">
        <f t="shared" si="9"/>
        <v>100</v>
      </c>
      <c r="N50" s="50" t="str">
        <f t="shared" si="9"/>
        <v/>
      </c>
      <c r="O50" s="50" t="str">
        <f t="shared" si="9"/>
        <v/>
      </c>
      <c r="P50" s="50" t="str">
        <f t="shared" si="9"/>
        <v/>
      </c>
      <c r="Q50" s="50">
        <f t="shared" si="9"/>
        <v>100</v>
      </c>
      <c r="R50" s="50">
        <f t="shared" si="9"/>
        <v>100</v>
      </c>
      <c r="S50" s="50">
        <f t="shared" si="9"/>
        <v>100</v>
      </c>
      <c r="T50" s="50">
        <f t="shared" si="9"/>
        <v>100</v>
      </c>
      <c r="U50" s="50" t="str">
        <f t="shared" si="9"/>
        <v/>
      </c>
    </row>
    <row r="51" spans="1:21" x14ac:dyDescent="0.2">
      <c r="A51" t="s">
        <v>20</v>
      </c>
      <c r="B51">
        <f>F51+F55+F59+F63</f>
        <v>82</v>
      </c>
      <c r="D51" s="141"/>
      <c r="E51" s="54" t="s">
        <v>20</v>
      </c>
      <c r="F51" s="1">
        <f>G51+L51+Q51</f>
        <v>12</v>
      </c>
      <c r="G51" s="52"/>
      <c r="H51" s="1"/>
      <c r="I51" s="1"/>
      <c r="J51" s="1"/>
      <c r="K51" s="1"/>
      <c r="L51" s="49">
        <f>SUM(M51:P51)</f>
        <v>4</v>
      </c>
      <c r="M51" s="1">
        <v>4</v>
      </c>
      <c r="N51" s="1"/>
      <c r="O51" s="1"/>
      <c r="P51" s="1"/>
      <c r="Q51" s="49">
        <f>SUM(R51:U51)</f>
        <v>8</v>
      </c>
      <c r="R51" s="1">
        <v>5</v>
      </c>
      <c r="S51" s="1">
        <v>1</v>
      </c>
      <c r="T51" s="1">
        <v>2</v>
      </c>
      <c r="U51" s="1"/>
    </row>
    <row r="52" spans="1:21" x14ac:dyDescent="0.2">
      <c r="A52" t="s">
        <v>21</v>
      </c>
      <c r="B52">
        <f>F52+F56+F60+F64</f>
        <v>20</v>
      </c>
      <c r="D52" s="141"/>
      <c r="E52" s="55" t="s">
        <v>21</v>
      </c>
      <c r="F52" s="1">
        <f>G52+L52+Q52</f>
        <v>0</v>
      </c>
      <c r="G52" s="52"/>
      <c r="H52" s="1"/>
      <c r="I52" s="1"/>
      <c r="J52" s="1"/>
      <c r="K52" s="1"/>
      <c r="L52" s="49">
        <f>SUM(M52:P52)</f>
        <v>0</v>
      </c>
      <c r="M52" s="1"/>
      <c r="N52" s="1"/>
      <c r="O52" s="1"/>
      <c r="P52" s="1"/>
      <c r="Q52" s="49">
        <f>SUM(R52:U52)</f>
        <v>0</v>
      </c>
      <c r="R52" s="1">
        <v>0</v>
      </c>
      <c r="S52" s="1"/>
      <c r="T52" s="1"/>
      <c r="U52" s="1"/>
    </row>
    <row r="53" spans="1:21" x14ac:dyDescent="0.2">
      <c r="A53" t="s">
        <v>22</v>
      </c>
      <c r="B53">
        <f>F53+F57+F61+F65</f>
        <v>8</v>
      </c>
      <c r="D53" s="141"/>
      <c r="E53" s="56" t="s">
        <v>22</v>
      </c>
      <c r="F53" s="1">
        <f>G53+L53+Q53</f>
        <v>0</v>
      </c>
      <c r="G53" s="52"/>
      <c r="H53" s="1"/>
      <c r="I53" s="1"/>
      <c r="J53" s="1"/>
      <c r="K53" s="1"/>
      <c r="L53" s="49">
        <f>SUM(M53:P53)</f>
        <v>0</v>
      </c>
      <c r="M53" s="1"/>
      <c r="N53" s="1"/>
      <c r="O53" s="1"/>
      <c r="P53" s="1"/>
      <c r="Q53" s="49">
        <f>SUM(R53:U53)</f>
        <v>0</v>
      </c>
      <c r="R53" s="1">
        <v>0</v>
      </c>
      <c r="S53" s="1"/>
      <c r="T53" s="1"/>
      <c r="U53" s="1"/>
    </row>
    <row r="54" spans="1:21" x14ac:dyDescent="0.2">
      <c r="D54" s="141"/>
      <c r="E54" s="46" t="s">
        <v>33</v>
      </c>
      <c r="F54" s="50">
        <f t="shared" ref="F54:U54" si="10">IFERROR((((F55/SUM(F55:F57))-(F57/SUM(F55:F57)))*100),"")</f>
        <v>51.923076923076927</v>
      </c>
      <c r="G54" s="50" t="str">
        <f t="shared" si="10"/>
        <v/>
      </c>
      <c r="H54" s="50" t="str">
        <f t="shared" si="10"/>
        <v/>
      </c>
      <c r="I54" s="50" t="str">
        <f t="shared" si="10"/>
        <v/>
      </c>
      <c r="J54" s="50" t="str">
        <f t="shared" si="10"/>
        <v/>
      </c>
      <c r="K54" s="50" t="str">
        <f t="shared" si="10"/>
        <v/>
      </c>
      <c r="L54" s="50">
        <f t="shared" si="10"/>
        <v>33.333333333333336</v>
      </c>
      <c r="M54" s="50">
        <f t="shared" si="10"/>
        <v>37.5</v>
      </c>
      <c r="N54" s="50">
        <f t="shared" si="10"/>
        <v>20</v>
      </c>
      <c r="O54" s="50">
        <f t="shared" si="10"/>
        <v>42.857142857142854</v>
      </c>
      <c r="P54" s="50">
        <f t="shared" si="10"/>
        <v>50</v>
      </c>
      <c r="Q54" s="50">
        <f t="shared" si="10"/>
        <v>72</v>
      </c>
      <c r="R54" s="50">
        <f t="shared" si="10"/>
        <v>87.5</v>
      </c>
      <c r="S54" s="50">
        <f t="shared" si="10"/>
        <v>100</v>
      </c>
      <c r="T54" s="50">
        <f t="shared" si="10"/>
        <v>80</v>
      </c>
      <c r="U54" s="50">
        <f t="shared" si="10"/>
        <v>20</v>
      </c>
    </row>
    <row r="55" spans="1:21" x14ac:dyDescent="0.2">
      <c r="D55" s="141"/>
      <c r="E55" s="54" t="s">
        <v>20</v>
      </c>
      <c r="F55" s="1">
        <f>G55+L55+Q55</f>
        <v>34</v>
      </c>
      <c r="G55" s="52"/>
      <c r="H55" s="1"/>
      <c r="I55" s="1"/>
      <c r="J55" s="1"/>
      <c r="K55" s="1"/>
      <c r="L55" s="49">
        <f>SUM(M55:P55)</f>
        <v>15</v>
      </c>
      <c r="M55" s="1">
        <v>5</v>
      </c>
      <c r="N55" s="1">
        <v>5</v>
      </c>
      <c r="O55" s="1">
        <v>4</v>
      </c>
      <c r="P55" s="1">
        <v>1</v>
      </c>
      <c r="Q55" s="49">
        <f>SUM(R55:U55)</f>
        <v>19</v>
      </c>
      <c r="R55" s="1">
        <v>7</v>
      </c>
      <c r="S55" s="1">
        <v>2</v>
      </c>
      <c r="T55" s="1">
        <v>8</v>
      </c>
      <c r="U55" s="1">
        <v>2</v>
      </c>
    </row>
    <row r="56" spans="1:21" x14ac:dyDescent="0.2">
      <c r="D56" s="141"/>
      <c r="E56" s="55" t="s">
        <v>21</v>
      </c>
      <c r="F56" s="1">
        <f>G56+L56+Q56</f>
        <v>11</v>
      </c>
      <c r="G56" s="52"/>
      <c r="H56" s="1"/>
      <c r="I56" s="1"/>
      <c r="J56" s="1"/>
      <c r="K56" s="1"/>
      <c r="L56" s="49">
        <f>SUM(M56:P56)</f>
        <v>6</v>
      </c>
      <c r="M56" s="1">
        <v>1</v>
      </c>
      <c r="N56" s="1">
        <v>2</v>
      </c>
      <c r="O56" s="1">
        <v>2</v>
      </c>
      <c r="P56" s="1">
        <v>1</v>
      </c>
      <c r="Q56" s="49">
        <f>SUM(R56:U56)</f>
        <v>5</v>
      </c>
      <c r="R56" s="1">
        <v>1</v>
      </c>
      <c r="S56" s="1"/>
      <c r="T56" s="1">
        <v>2</v>
      </c>
      <c r="U56" s="1">
        <v>2</v>
      </c>
    </row>
    <row r="57" spans="1:21" x14ac:dyDescent="0.2">
      <c r="D57" s="141"/>
      <c r="E57" s="56" t="s">
        <v>22</v>
      </c>
      <c r="F57" s="1">
        <f>G57+L57+Q57</f>
        <v>7</v>
      </c>
      <c r="G57" s="52"/>
      <c r="H57" s="1"/>
      <c r="I57" s="1"/>
      <c r="J57" s="1"/>
      <c r="K57" s="1"/>
      <c r="L57" s="49">
        <f>SUM(M57:P57)</f>
        <v>6</v>
      </c>
      <c r="M57" s="1">
        <v>2</v>
      </c>
      <c r="N57" s="1">
        <v>3</v>
      </c>
      <c r="O57" s="1">
        <v>1</v>
      </c>
      <c r="P57" s="1"/>
      <c r="Q57" s="49">
        <f>SUM(R57:U57)</f>
        <v>1</v>
      </c>
      <c r="R57" s="1"/>
      <c r="S57" s="1"/>
      <c r="T57" s="1"/>
      <c r="U57" s="1">
        <v>1</v>
      </c>
    </row>
    <row r="58" spans="1:21" x14ac:dyDescent="0.2">
      <c r="D58" s="141"/>
      <c r="E58" s="46" t="s">
        <v>34</v>
      </c>
      <c r="F58" s="50">
        <f t="shared" ref="F58:U58" si="11">IFERROR((((F59/SUM(F59:F61))-(F61/SUM(F59:F61)))*100),"")</f>
        <v>75</v>
      </c>
      <c r="G58" s="50" t="str">
        <f t="shared" si="11"/>
        <v/>
      </c>
      <c r="H58" s="50" t="str">
        <f t="shared" si="11"/>
        <v/>
      </c>
      <c r="I58" s="50" t="str">
        <f t="shared" si="11"/>
        <v/>
      </c>
      <c r="J58" s="50" t="str">
        <f t="shared" si="11"/>
        <v/>
      </c>
      <c r="K58" s="50" t="str">
        <f t="shared" si="11"/>
        <v/>
      </c>
      <c r="L58" s="50">
        <f t="shared" si="11"/>
        <v>58.333333333333329</v>
      </c>
      <c r="M58" s="50">
        <f t="shared" si="11"/>
        <v>100</v>
      </c>
      <c r="N58" s="50">
        <f t="shared" si="11"/>
        <v>50</v>
      </c>
      <c r="O58" s="50">
        <f t="shared" si="11"/>
        <v>55.555555555555557</v>
      </c>
      <c r="P58" s="50" t="str">
        <f t="shared" si="11"/>
        <v/>
      </c>
      <c r="Q58" s="50">
        <f t="shared" si="11"/>
        <v>85</v>
      </c>
      <c r="R58" s="50">
        <f t="shared" si="11"/>
        <v>75</v>
      </c>
      <c r="S58" s="50">
        <f t="shared" si="11"/>
        <v>90.909090909090907</v>
      </c>
      <c r="T58" s="50" t="str">
        <f t="shared" si="11"/>
        <v/>
      </c>
      <c r="U58" s="50">
        <f t="shared" si="11"/>
        <v>80</v>
      </c>
    </row>
    <row r="59" spans="1:21" x14ac:dyDescent="0.2">
      <c r="D59" s="141"/>
      <c r="E59" s="54" t="s">
        <v>20</v>
      </c>
      <c r="F59" s="1">
        <f>G59+L59+Q59</f>
        <v>25</v>
      </c>
      <c r="G59" s="52"/>
      <c r="H59" s="1"/>
      <c r="I59" s="1"/>
      <c r="J59" s="1"/>
      <c r="K59" s="1"/>
      <c r="L59" s="49">
        <f>SUM(M59:P59)</f>
        <v>8</v>
      </c>
      <c r="M59" s="1">
        <v>1</v>
      </c>
      <c r="N59" s="1">
        <v>1</v>
      </c>
      <c r="O59" s="1">
        <v>6</v>
      </c>
      <c r="P59" s="1"/>
      <c r="Q59" s="49">
        <f>SUM(R59:U59)</f>
        <v>17</v>
      </c>
      <c r="R59" s="1">
        <v>3</v>
      </c>
      <c r="S59" s="1">
        <v>10</v>
      </c>
      <c r="T59" s="1"/>
      <c r="U59" s="1">
        <v>4</v>
      </c>
    </row>
    <row r="60" spans="1:21" x14ac:dyDescent="0.2">
      <c r="D60" s="141"/>
      <c r="E60" s="55" t="s">
        <v>21</v>
      </c>
      <c r="F60" s="1">
        <f>G60+L60+Q60</f>
        <v>6</v>
      </c>
      <c r="G60" s="52"/>
      <c r="H60" s="1"/>
      <c r="I60" s="1"/>
      <c r="J60" s="1"/>
      <c r="K60" s="1"/>
      <c r="L60" s="49">
        <f>SUM(M60:P60)</f>
        <v>3</v>
      </c>
      <c r="M60" s="1"/>
      <c r="N60" s="1">
        <v>1</v>
      </c>
      <c r="O60" s="1">
        <v>2</v>
      </c>
      <c r="P60" s="1"/>
      <c r="Q60" s="49">
        <f>SUM(R60:U60)</f>
        <v>3</v>
      </c>
      <c r="R60" s="1">
        <v>1</v>
      </c>
      <c r="S60" s="1">
        <v>1</v>
      </c>
      <c r="T60" s="1"/>
      <c r="U60" s="1">
        <v>1</v>
      </c>
    </row>
    <row r="61" spans="1:21" x14ac:dyDescent="0.2">
      <c r="D61" s="141"/>
      <c r="E61" s="56" t="s">
        <v>22</v>
      </c>
      <c r="F61" s="1">
        <f>G61+L61+Q61</f>
        <v>1</v>
      </c>
      <c r="G61" s="52"/>
      <c r="H61" s="1"/>
      <c r="I61" s="1"/>
      <c r="J61" s="1"/>
      <c r="K61" s="1"/>
      <c r="L61" s="49">
        <f>SUM(M61:P61)</f>
        <v>1</v>
      </c>
      <c r="M61" s="1"/>
      <c r="N61" s="1"/>
      <c r="O61" s="1">
        <v>1</v>
      </c>
      <c r="P61" s="1"/>
      <c r="Q61" s="49">
        <f>SUM(R61:U61)</f>
        <v>0</v>
      </c>
      <c r="R61" s="1"/>
      <c r="S61" s="1"/>
      <c r="T61" s="1"/>
      <c r="U61" s="1"/>
    </row>
    <row r="62" spans="1:21" x14ac:dyDescent="0.2">
      <c r="D62" s="141"/>
      <c r="E62" s="46" t="s">
        <v>35</v>
      </c>
      <c r="F62" s="50">
        <f t="shared" ref="F62:U62" si="12">IFERROR((((F63/SUM(F63:F65))-(F65/SUM(F63:F65)))*100),"")</f>
        <v>78.571428571428569</v>
      </c>
      <c r="G62" s="50" t="str">
        <f t="shared" si="12"/>
        <v/>
      </c>
      <c r="H62" s="50" t="str">
        <f t="shared" si="12"/>
        <v/>
      </c>
      <c r="I62" s="50" t="str">
        <f t="shared" si="12"/>
        <v/>
      </c>
      <c r="J62" s="50" t="str">
        <f t="shared" si="12"/>
        <v/>
      </c>
      <c r="K62" s="50" t="str">
        <f t="shared" si="12"/>
        <v/>
      </c>
      <c r="L62" s="50">
        <f t="shared" si="12"/>
        <v>100</v>
      </c>
      <c r="M62" s="50" t="str">
        <f t="shared" si="12"/>
        <v/>
      </c>
      <c r="N62" s="50">
        <f t="shared" si="12"/>
        <v>100</v>
      </c>
      <c r="O62" s="50">
        <f t="shared" si="12"/>
        <v>100</v>
      </c>
      <c r="P62" s="50">
        <f t="shared" si="12"/>
        <v>100</v>
      </c>
      <c r="Q62" s="50">
        <f t="shared" si="12"/>
        <v>62.5</v>
      </c>
      <c r="R62" s="50">
        <f t="shared" si="12"/>
        <v>60</v>
      </c>
      <c r="S62" s="50" t="str">
        <f t="shared" si="12"/>
        <v/>
      </c>
      <c r="T62" s="50">
        <f t="shared" si="12"/>
        <v>66.666666666666657</v>
      </c>
      <c r="U62" s="50" t="str">
        <f t="shared" si="12"/>
        <v/>
      </c>
    </row>
    <row r="63" spans="1:21" x14ac:dyDescent="0.2">
      <c r="D63" s="141"/>
      <c r="E63" s="54" t="s">
        <v>20</v>
      </c>
      <c r="F63" s="1">
        <f>G63+L63+Q63</f>
        <v>11</v>
      </c>
      <c r="G63" s="52"/>
      <c r="H63" s="1"/>
      <c r="I63" s="1"/>
      <c r="J63" s="1"/>
      <c r="K63" s="1"/>
      <c r="L63" s="49">
        <f>SUM(M63:P63)</f>
        <v>6</v>
      </c>
      <c r="M63" s="1"/>
      <c r="N63" s="1">
        <v>1</v>
      </c>
      <c r="O63" s="1">
        <v>2</v>
      </c>
      <c r="P63" s="1">
        <v>3</v>
      </c>
      <c r="Q63" s="49">
        <f>SUM(R63:U63)</f>
        <v>5</v>
      </c>
      <c r="R63" s="1">
        <v>3</v>
      </c>
      <c r="S63" s="1"/>
      <c r="T63" s="1">
        <v>2</v>
      </c>
      <c r="U63" s="1"/>
    </row>
    <row r="64" spans="1:21" x14ac:dyDescent="0.2">
      <c r="D64" s="141"/>
      <c r="E64" s="55" t="s">
        <v>21</v>
      </c>
      <c r="F64" s="1">
        <f>G64+L64+Q64</f>
        <v>3</v>
      </c>
      <c r="G64" s="52"/>
      <c r="H64" s="1"/>
      <c r="I64" s="1"/>
      <c r="J64" s="1"/>
      <c r="K64" s="1"/>
      <c r="L64" s="49">
        <f>SUM(M64:P64)</f>
        <v>0</v>
      </c>
      <c r="M64" s="1"/>
      <c r="N64" s="1"/>
      <c r="O64" s="1"/>
      <c r="P64" s="1"/>
      <c r="Q64" s="49">
        <f>SUM(R64:U64)</f>
        <v>3</v>
      </c>
      <c r="R64" s="1">
        <v>2</v>
      </c>
      <c r="S64" s="1"/>
      <c r="T64" s="1">
        <v>1</v>
      </c>
      <c r="U64" s="1"/>
    </row>
    <row r="65" spans="1:21" x14ac:dyDescent="0.2">
      <c r="D65" s="141"/>
      <c r="E65" s="56" t="s">
        <v>22</v>
      </c>
      <c r="F65" s="1">
        <f>G65+L65+Q65</f>
        <v>0</v>
      </c>
      <c r="G65" s="52"/>
      <c r="H65" s="1"/>
      <c r="I65" s="1"/>
      <c r="J65" s="1"/>
      <c r="K65" s="1"/>
      <c r="L65" s="49">
        <f>SUM(M65:P65)</f>
        <v>0</v>
      </c>
      <c r="M65" s="1"/>
      <c r="N65" s="1"/>
      <c r="O65" s="1"/>
      <c r="P65" s="1"/>
      <c r="Q65" s="49">
        <f>SUM(R65:U65)</f>
        <v>0</v>
      </c>
      <c r="R65" s="1"/>
      <c r="S65" s="1"/>
      <c r="T65" s="1"/>
      <c r="U65" s="1"/>
    </row>
    <row r="68" spans="1:21" x14ac:dyDescent="0.2">
      <c r="E68" s="42" t="s">
        <v>12</v>
      </c>
      <c r="F68" s="42" t="s">
        <v>13</v>
      </c>
      <c r="G68" s="51">
        <v>2022</v>
      </c>
      <c r="H68" s="47" t="s">
        <v>14</v>
      </c>
      <c r="I68" s="47" t="s">
        <v>15</v>
      </c>
      <c r="J68" s="47" t="s">
        <v>16</v>
      </c>
      <c r="K68" s="47" t="s">
        <v>17</v>
      </c>
      <c r="L68" s="48">
        <v>2021</v>
      </c>
      <c r="M68" s="47" t="s">
        <v>14</v>
      </c>
      <c r="N68" s="47" t="s">
        <v>15</v>
      </c>
      <c r="O68" s="47" t="s">
        <v>16</v>
      </c>
      <c r="P68" s="47" t="s">
        <v>17</v>
      </c>
      <c r="Q68" s="48">
        <v>2020</v>
      </c>
      <c r="R68" s="47" t="s">
        <v>14</v>
      </c>
      <c r="S68" s="47" t="s">
        <v>15</v>
      </c>
      <c r="T68" s="47" t="s">
        <v>16</v>
      </c>
      <c r="U68" s="47" t="s">
        <v>17</v>
      </c>
    </row>
    <row r="69" spans="1:21" x14ac:dyDescent="0.2">
      <c r="A69" t="s">
        <v>12</v>
      </c>
      <c r="B69" s="50">
        <f>((B70/SUM(B70:B72))-(B72/SUM(B70:B72)))*100</f>
        <v>76.904240237143966</v>
      </c>
      <c r="D69" s="141" t="s">
        <v>36</v>
      </c>
      <c r="E69" s="46" t="s">
        <v>32</v>
      </c>
      <c r="F69" s="50">
        <f t="shared" ref="F69:U69" si="13">IFERROR((((F70/SUM(F70:F72))-(F72/SUM(F70:F72)))*100),"")</f>
        <v>75.859312549960023</v>
      </c>
      <c r="G69" s="50" t="str">
        <f t="shared" si="13"/>
        <v/>
      </c>
      <c r="H69" s="50" t="str">
        <f t="shared" si="13"/>
        <v/>
      </c>
      <c r="I69" s="50" t="str">
        <f t="shared" si="13"/>
        <v/>
      </c>
      <c r="J69" s="50" t="str">
        <f t="shared" si="13"/>
        <v/>
      </c>
      <c r="K69" s="50" t="str">
        <f t="shared" si="13"/>
        <v/>
      </c>
      <c r="L69" s="50" t="str">
        <f t="shared" si="13"/>
        <v/>
      </c>
      <c r="M69" s="50" t="str">
        <f t="shared" si="13"/>
        <v/>
      </c>
      <c r="N69" s="50" t="str">
        <f t="shared" si="13"/>
        <v/>
      </c>
      <c r="O69" s="50" t="str">
        <f t="shared" si="13"/>
        <v/>
      </c>
      <c r="P69" s="50" t="str">
        <f t="shared" si="13"/>
        <v/>
      </c>
      <c r="Q69" s="50">
        <f t="shared" si="13"/>
        <v>75.859312549960023</v>
      </c>
      <c r="R69" s="50">
        <f t="shared" si="13"/>
        <v>76.881720430107521</v>
      </c>
      <c r="S69" s="50">
        <f t="shared" si="13"/>
        <v>74.75</v>
      </c>
      <c r="T69" s="50" t="str">
        <f t="shared" si="13"/>
        <v/>
      </c>
      <c r="U69" s="50" t="str">
        <f t="shared" si="13"/>
        <v/>
      </c>
    </row>
    <row r="70" spans="1:21" x14ac:dyDescent="0.2">
      <c r="A70" t="s">
        <v>20</v>
      </c>
      <c r="B70">
        <f>F70+F74+F78+F82</f>
        <v>6280</v>
      </c>
      <c r="D70" s="141"/>
      <c r="E70" s="54" t="s">
        <v>20</v>
      </c>
      <c r="F70" s="1">
        <f>G70+L70+Q70</f>
        <v>2028</v>
      </c>
      <c r="G70" s="52"/>
      <c r="H70" s="1"/>
      <c r="I70" s="1"/>
      <c r="J70" s="1"/>
      <c r="K70" s="1"/>
      <c r="L70" s="49">
        <f>SUM(M70:P70)</f>
        <v>0</v>
      </c>
      <c r="M70" s="1"/>
      <c r="N70" s="1"/>
      <c r="O70" s="1"/>
      <c r="P70" s="1"/>
      <c r="Q70" s="49">
        <f>SUM(R70:U70)</f>
        <v>2028</v>
      </c>
      <c r="R70" s="1">
        <f>105+108+93+103+95+108+114+111+113+109</f>
        <v>1059</v>
      </c>
      <c r="S70" s="1">
        <f>99+96+104+99+99+119+116+117+120</f>
        <v>969</v>
      </c>
      <c r="T70" s="1"/>
      <c r="U70" s="1"/>
    </row>
    <row r="71" spans="1:21" x14ac:dyDescent="0.2">
      <c r="A71" t="s">
        <v>21</v>
      </c>
      <c r="B71">
        <f>F71+F75+F79+F83</f>
        <v>1166</v>
      </c>
      <c r="D71" s="141"/>
      <c r="E71" s="55" t="s">
        <v>21</v>
      </c>
      <c r="F71" s="1">
        <f>G71+L71+Q71</f>
        <v>344</v>
      </c>
      <c r="G71" s="52"/>
      <c r="H71" s="1"/>
      <c r="I71" s="1"/>
      <c r="J71" s="1"/>
      <c r="K71" s="1"/>
      <c r="L71" s="49">
        <f>SUM(M71:P71)</f>
        <v>0</v>
      </c>
      <c r="M71" s="1"/>
      <c r="N71" s="1"/>
      <c r="O71" s="1"/>
      <c r="P71" s="1"/>
      <c r="Q71" s="49">
        <f>SUM(R71:U71)</f>
        <v>344</v>
      </c>
      <c r="R71" s="1">
        <f>19+18+33+23+23+16+11+13+11+18</f>
        <v>185</v>
      </c>
      <c r="S71" s="1">
        <f>22+22+19+16+25+13+16+15+11</f>
        <v>159</v>
      </c>
      <c r="T71" s="1"/>
      <c r="U71" s="1"/>
    </row>
    <row r="72" spans="1:21" x14ac:dyDescent="0.2">
      <c r="A72" t="s">
        <v>22</v>
      </c>
      <c r="B72">
        <f>F72+F76+F80+F84</f>
        <v>313</v>
      </c>
      <c r="D72" s="141"/>
      <c r="E72" s="56" t="s">
        <v>22</v>
      </c>
      <c r="F72" s="1">
        <f>G72+L72+Q72</f>
        <v>130</v>
      </c>
      <c r="G72" s="52"/>
      <c r="H72" s="1"/>
      <c r="I72" s="1"/>
      <c r="J72" s="1"/>
      <c r="K72" s="1"/>
      <c r="L72" s="49">
        <f>SUM(M72:P72)</f>
        <v>0</v>
      </c>
      <c r="M72" s="1"/>
      <c r="N72" s="1"/>
      <c r="O72" s="1"/>
      <c r="P72" s="1"/>
      <c r="Q72" s="49">
        <f>SUM(R72:U72)</f>
        <v>130</v>
      </c>
      <c r="R72" s="1">
        <f>8+4+4+4+12+6+5+6+6+3</f>
        <v>58</v>
      </c>
      <c r="S72" s="1">
        <f>9+7+7+10+6+8+8+8+9</f>
        <v>72</v>
      </c>
      <c r="T72" s="1"/>
      <c r="U72" s="1"/>
    </row>
    <row r="73" spans="1:21" x14ac:dyDescent="0.2">
      <c r="D73" s="141"/>
      <c r="E73" s="46" t="s">
        <v>37</v>
      </c>
      <c r="F73" s="50">
        <f t="shared" ref="F73:U73" si="14">IFERROR((((F74/SUM(F74:F76))-(F76/SUM(F74:F76)))*100),"")</f>
        <v>76.203852327447834</v>
      </c>
      <c r="G73" s="50" t="str">
        <f t="shared" si="14"/>
        <v/>
      </c>
      <c r="H73" s="50" t="str">
        <f t="shared" si="14"/>
        <v/>
      </c>
      <c r="I73" s="50" t="str">
        <f t="shared" si="14"/>
        <v/>
      </c>
      <c r="J73" s="50" t="str">
        <f t="shared" si="14"/>
        <v/>
      </c>
      <c r="K73" s="50" t="str">
        <f t="shared" si="14"/>
        <v/>
      </c>
      <c r="L73" s="50">
        <f t="shared" si="14"/>
        <v>76.322992700729927</v>
      </c>
      <c r="M73" s="50" t="str">
        <f t="shared" si="14"/>
        <v/>
      </c>
      <c r="N73" s="50">
        <f t="shared" si="14"/>
        <v>79.019607843137251</v>
      </c>
      <c r="O73" s="50">
        <f t="shared" si="14"/>
        <v>79.019607843137251</v>
      </c>
      <c r="P73" s="50">
        <f t="shared" si="14"/>
        <v>40.131578947368418</v>
      </c>
      <c r="Q73" s="50">
        <f t="shared" si="14"/>
        <v>75.333333333333329</v>
      </c>
      <c r="R73" s="50" t="str">
        <f t="shared" si="14"/>
        <v/>
      </c>
      <c r="S73" s="50" t="str">
        <f t="shared" si="14"/>
        <v/>
      </c>
      <c r="T73" s="50">
        <f t="shared" si="14"/>
        <v>75.333333333333329</v>
      </c>
      <c r="U73" s="50" t="str">
        <f t="shared" si="14"/>
        <v/>
      </c>
    </row>
    <row r="74" spans="1:21" x14ac:dyDescent="0.2">
      <c r="D74" s="141"/>
      <c r="E74" s="54" t="s">
        <v>20</v>
      </c>
      <c r="F74" s="1">
        <f>G74+L74+Q74</f>
        <v>2009</v>
      </c>
      <c r="G74" s="52"/>
      <c r="H74" s="1"/>
      <c r="I74" s="1"/>
      <c r="J74" s="1"/>
      <c r="K74" s="1"/>
      <c r="L74" s="49">
        <f>SUM(M74:P74)</f>
        <v>1764</v>
      </c>
      <c r="M74" s="1"/>
      <c r="N74" s="1">
        <v>839</v>
      </c>
      <c r="O74" s="1">
        <v>839</v>
      </c>
      <c r="P74" s="1">
        <v>86</v>
      </c>
      <c r="Q74" s="49">
        <f>SUM(R74:U74)</f>
        <v>245</v>
      </c>
      <c r="R74" s="1"/>
      <c r="S74" s="1"/>
      <c r="T74" s="1">
        <v>245</v>
      </c>
      <c r="U74" s="1"/>
    </row>
    <row r="75" spans="1:21" x14ac:dyDescent="0.2">
      <c r="D75" s="141"/>
      <c r="E75" s="55" t="s">
        <v>21</v>
      </c>
      <c r="F75" s="1">
        <f>G75+L75+Q75</f>
        <v>373</v>
      </c>
      <c r="G75" s="52"/>
      <c r="H75" s="1"/>
      <c r="I75" s="1"/>
      <c r="J75" s="1"/>
      <c r="K75" s="1"/>
      <c r="L75" s="49">
        <f>SUM(M75:P75)</f>
        <v>337</v>
      </c>
      <c r="M75" s="1"/>
      <c r="N75" s="1">
        <v>148</v>
      </c>
      <c r="O75" s="1">
        <v>148</v>
      </c>
      <c r="P75" s="1">
        <v>41</v>
      </c>
      <c r="Q75" s="49">
        <f>SUM(R75:U75)</f>
        <v>36</v>
      </c>
      <c r="R75" s="1"/>
      <c r="S75" s="1"/>
      <c r="T75" s="1">
        <v>36</v>
      </c>
      <c r="U75" s="1"/>
    </row>
    <row r="76" spans="1:21" x14ac:dyDescent="0.2">
      <c r="D76" s="141"/>
      <c r="E76" s="56" t="s">
        <v>22</v>
      </c>
      <c r="F76" s="1">
        <f>G76+L76+Q76</f>
        <v>110</v>
      </c>
      <c r="G76" s="52"/>
      <c r="H76" s="1"/>
      <c r="I76" s="1"/>
      <c r="J76" s="1"/>
      <c r="K76" s="1"/>
      <c r="L76" s="49">
        <f>SUM(M76:P76)</f>
        <v>91</v>
      </c>
      <c r="M76" s="1"/>
      <c r="N76" s="1">
        <v>33</v>
      </c>
      <c r="O76" s="1">
        <v>33</v>
      </c>
      <c r="P76" s="1">
        <v>25</v>
      </c>
      <c r="Q76" s="49">
        <f>SUM(R76:U76)</f>
        <v>19</v>
      </c>
      <c r="R76" s="1"/>
      <c r="S76" s="1"/>
      <c r="T76" s="1">
        <v>19</v>
      </c>
      <c r="U76" s="1"/>
    </row>
    <row r="77" spans="1:21" x14ac:dyDescent="0.2">
      <c r="D77" s="141"/>
      <c r="E77" s="46" t="s">
        <v>38</v>
      </c>
      <c r="F77" s="50">
        <f t="shared" ref="F77:U77" si="15">IFERROR((((F78/SUM(F78:F80))-(F80/SUM(F78:F80)))*100),"")</f>
        <v>77.286432160804026</v>
      </c>
      <c r="G77" s="50" t="str">
        <f t="shared" si="15"/>
        <v/>
      </c>
      <c r="H77" s="50" t="str">
        <f t="shared" si="15"/>
        <v/>
      </c>
      <c r="I77" s="50" t="str">
        <f t="shared" si="15"/>
        <v/>
      </c>
      <c r="J77" s="50" t="str">
        <f t="shared" si="15"/>
        <v/>
      </c>
      <c r="K77" s="50" t="str">
        <f t="shared" si="15"/>
        <v/>
      </c>
      <c r="L77" s="50">
        <f t="shared" si="15"/>
        <v>72.592592592592595</v>
      </c>
      <c r="M77" s="50">
        <f t="shared" si="15"/>
        <v>72.777777777777771</v>
      </c>
      <c r="N77" s="50">
        <f t="shared" si="15"/>
        <v>75</v>
      </c>
      <c r="O77" s="50">
        <f t="shared" si="15"/>
        <v>70</v>
      </c>
      <c r="P77" s="50" t="str">
        <f t="shared" si="15"/>
        <v/>
      </c>
      <c r="Q77" s="50">
        <f t="shared" si="15"/>
        <v>82.857142857142847</v>
      </c>
      <c r="R77" s="50" t="str">
        <f t="shared" si="15"/>
        <v/>
      </c>
      <c r="S77" s="50" t="str">
        <f t="shared" si="15"/>
        <v/>
      </c>
      <c r="T77" s="50">
        <f t="shared" si="15"/>
        <v>88.837209302325576</v>
      </c>
      <c r="U77" s="50">
        <f t="shared" si="15"/>
        <v>77.499999999999986</v>
      </c>
    </row>
    <row r="78" spans="1:21" x14ac:dyDescent="0.2">
      <c r="D78" s="141"/>
      <c r="E78" s="54" t="s">
        <v>20</v>
      </c>
      <c r="F78" s="1">
        <f>G78+L78+Q78</f>
        <v>812</v>
      </c>
      <c r="G78" s="52"/>
      <c r="H78" s="1"/>
      <c r="I78" s="1"/>
      <c r="J78" s="1"/>
      <c r="K78" s="1"/>
      <c r="L78" s="49">
        <f>SUM(M78:P78)</f>
        <v>425</v>
      </c>
      <c r="M78" s="1">
        <v>142</v>
      </c>
      <c r="N78" s="1">
        <v>143</v>
      </c>
      <c r="O78" s="1">
        <v>140</v>
      </c>
      <c r="P78" s="1"/>
      <c r="Q78" s="49">
        <f>SUM(R78:U78)</f>
        <v>387</v>
      </c>
      <c r="R78" s="1"/>
      <c r="S78" s="1"/>
      <c r="T78" s="1">
        <v>197</v>
      </c>
      <c r="U78" s="1">
        <v>190</v>
      </c>
    </row>
    <row r="79" spans="1:21" x14ac:dyDescent="0.2">
      <c r="D79" s="141"/>
      <c r="E79" s="55" t="s">
        <v>21</v>
      </c>
      <c r="F79" s="1">
        <f>G79+L79+Q79</f>
        <v>140</v>
      </c>
      <c r="G79" s="52"/>
      <c r="H79" s="1"/>
      <c r="I79" s="1"/>
      <c r="J79" s="1"/>
      <c r="K79" s="1"/>
      <c r="L79" s="49">
        <f>SUM(M79:P79)</f>
        <v>82</v>
      </c>
      <c r="M79" s="1">
        <v>27</v>
      </c>
      <c r="N79" s="1">
        <v>29</v>
      </c>
      <c r="O79" s="1">
        <v>26</v>
      </c>
      <c r="P79" s="1"/>
      <c r="Q79" s="49">
        <f>SUM(R79:U79)</f>
        <v>58</v>
      </c>
      <c r="R79" s="1"/>
      <c r="S79" s="1"/>
      <c r="T79" s="1">
        <v>12</v>
      </c>
      <c r="U79" s="1">
        <v>46</v>
      </c>
    </row>
    <row r="80" spans="1:21" x14ac:dyDescent="0.2">
      <c r="D80" s="141"/>
      <c r="E80" s="56" t="s">
        <v>22</v>
      </c>
      <c r="F80" s="1">
        <f>G80+L80+Q80</f>
        <v>43</v>
      </c>
      <c r="G80" s="52"/>
      <c r="H80" s="1"/>
      <c r="I80" s="1"/>
      <c r="J80" s="1"/>
      <c r="K80" s="1"/>
      <c r="L80" s="49">
        <f>SUM(M80:P80)</f>
        <v>33</v>
      </c>
      <c r="M80" s="1">
        <v>11</v>
      </c>
      <c r="N80" s="1">
        <v>8</v>
      </c>
      <c r="O80" s="1">
        <v>14</v>
      </c>
      <c r="P80" s="1"/>
      <c r="Q80" s="49">
        <f>SUM(R80:U80)</f>
        <v>10</v>
      </c>
      <c r="R80" s="1"/>
      <c r="S80" s="1"/>
      <c r="T80" s="1">
        <v>6</v>
      </c>
      <c r="U80" s="1">
        <v>4</v>
      </c>
    </row>
    <row r="81" spans="4:21" x14ac:dyDescent="0.2">
      <c r="D81" s="141"/>
      <c r="E81" s="46" t="s">
        <v>39</v>
      </c>
      <c r="F81" s="50">
        <f t="shared" ref="F81:U81" si="16">IFERROR((((F82/SUM(F82:F84))-(F84/SUM(F82:F84)))*100),"")</f>
        <v>79.152542372881356</v>
      </c>
      <c r="G81" s="50" t="str">
        <f t="shared" si="16"/>
        <v/>
      </c>
      <c r="H81" s="50" t="str">
        <f t="shared" si="16"/>
        <v/>
      </c>
      <c r="I81" s="50" t="str">
        <f t="shared" si="16"/>
        <v/>
      </c>
      <c r="J81" s="50" t="str">
        <f t="shared" si="16"/>
        <v/>
      </c>
      <c r="K81" s="50" t="str">
        <f t="shared" si="16"/>
        <v/>
      </c>
      <c r="L81" s="50">
        <f t="shared" si="16"/>
        <v>75.686274509803937</v>
      </c>
      <c r="M81" s="50">
        <f t="shared" si="16"/>
        <v>75.686274509803937</v>
      </c>
      <c r="N81" s="50" t="str">
        <f t="shared" si="16"/>
        <v/>
      </c>
      <c r="O81" s="50" t="str">
        <f t="shared" si="16"/>
        <v/>
      </c>
      <c r="P81" s="50" t="str">
        <f t="shared" si="16"/>
        <v/>
      </c>
      <c r="Q81" s="50">
        <f t="shared" si="16"/>
        <v>83.866666666666674</v>
      </c>
      <c r="R81" s="50" t="str">
        <f t="shared" si="16"/>
        <v/>
      </c>
      <c r="S81" s="50" t="str">
        <f t="shared" si="16"/>
        <v/>
      </c>
      <c r="T81" s="50" t="str">
        <f t="shared" si="16"/>
        <v/>
      </c>
      <c r="U81" s="50">
        <f t="shared" si="16"/>
        <v>83.866666666666674</v>
      </c>
    </row>
    <row r="82" spans="4:21" x14ac:dyDescent="0.2">
      <c r="D82" s="141"/>
      <c r="E82" s="54" t="s">
        <v>20</v>
      </c>
      <c r="F82" s="1">
        <f>G82+L82+Q82</f>
        <v>1431</v>
      </c>
      <c r="G82" s="52"/>
      <c r="H82" s="1"/>
      <c r="I82" s="1"/>
      <c r="J82" s="1"/>
      <c r="K82" s="1"/>
      <c r="L82" s="49">
        <f>SUM(M82:P82)</f>
        <v>785</v>
      </c>
      <c r="M82" s="1">
        <v>785</v>
      </c>
      <c r="N82" s="1"/>
      <c r="O82" s="1"/>
      <c r="P82" s="1"/>
      <c r="Q82" s="49">
        <f>SUM(R82:U82)</f>
        <v>646</v>
      </c>
      <c r="R82" s="1"/>
      <c r="S82" s="1"/>
      <c r="T82" s="1"/>
      <c r="U82" s="1">
        <v>646</v>
      </c>
    </row>
    <row r="83" spans="4:21" x14ac:dyDescent="0.2">
      <c r="D83" s="141"/>
      <c r="E83" s="55" t="s">
        <v>21</v>
      </c>
      <c r="F83" s="1">
        <f>G83+L83+Q83</f>
        <v>309</v>
      </c>
      <c r="G83" s="52"/>
      <c r="H83" s="1"/>
      <c r="I83" s="1"/>
      <c r="J83" s="1"/>
      <c r="K83" s="1"/>
      <c r="L83" s="49">
        <f>SUM(M83:P83)</f>
        <v>222</v>
      </c>
      <c r="M83" s="1">
        <v>222</v>
      </c>
      <c r="N83" s="1"/>
      <c r="O83" s="1"/>
      <c r="P83" s="1"/>
      <c r="Q83" s="49">
        <f>SUM(R83:U83)</f>
        <v>87</v>
      </c>
      <c r="R83" s="1"/>
      <c r="S83" s="1"/>
      <c r="T83" s="1"/>
      <c r="U83" s="1">
        <v>87</v>
      </c>
    </row>
    <row r="84" spans="4:21" x14ac:dyDescent="0.2">
      <c r="D84" s="141"/>
      <c r="E84" s="56" t="s">
        <v>22</v>
      </c>
      <c r="F84" s="1">
        <f>G84+L84+Q84</f>
        <v>30</v>
      </c>
      <c r="G84" s="52"/>
      <c r="H84" s="1"/>
      <c r="I84" s="1"/>
      <c r="J84" s="1"/>
      <c r="K84" s="1"/>
      <c r="L84" s="49">
        <f>SUM(M84:P84)</f>
        <v>13</v>
      </c>
      <c r="M84" s="1">
        <v>13</v>
      </c>
      <c r="N84" s="1"/>
      <c r="O84" s="1"/>
      <c r="P84" s="1"/>
      <c r="Q84" s="49">
        <f>SUM(R84:U84)</f>
        <v>17</v>
      </c>
      <c r="R84" s="1"/>
      <c r="S84" s="1"/>
      <c r="T84" s="1"/>
      <c r="U84" s="1">
        <v>17</v>
      </c>
    </row>
  </sheetData>
  <mergeCells count="5">
    <mergeCell ref="D50:D65"/>
    <mergeCell ref="D69:D84"/>
    <mergeCell ref="D4:D15"/>
    <mergeCell ref="D20:D31"/>
    <mergeCell ref="D35:D46"/>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6ED7-C4A4-48EF-ACAF-167755A61DB4}">
  <sheetPr codeName="Hoja4"/>
  <dimension ref="A2:C9"/>
  <sheetViews>
    <sheetView showGridLines="0" workbookViewId="0">
      <selection activeCell="C3" sqref="C3"/>
    </sheetView>
  </sheetViews>
  <sheetFormatPr baseColWidth="10" defaultColWidth="11.5" defaultRowHeight="15" x14ac:dyDescent="0.2"/>
  <sheetData>
    <row r="2" spans="1:3" x14ac:dyDescent="0.2">
      <c r="A2" s="14" t="s">
        <v>40</v>
      </c>
      <c r="B2" s="14" t="s">
        <v>41</v>
      </c>
      <c r="C2" s="14" t="s">
        <v>42</v>
      </c>
    </row>
    <row r="3" spans="1:3" x14ac:dyDescent="0.2">
      <c r="A3" t="s">
        <v>43</v>
      </c>
      <c r="B3" s="15">
        <v>1</v>
      </c>
      <c r="C3" s="16" t="e">
        <f>#REF!</f>
        <v>#REF!</v>
      </c>
    </row>
    <row r="4" spans="1:3" x14ac:dyDescent="0.2">
      <c r="A4" t="s">
        <v>31</v>
      </c>
      <c r="B4" s="15">
        <v>1</v>
      </c>
      <c r="C4" s="16" t="e">
        <f>#REF!</f>
        <v>#REF!</v>
      </c>
    </row>
    <row r="5" spans="1:3" x14ac:dyDescent="0.2">
      <c r="A5" t="s">
        <v>44</v>
      </c>
      <c r="B5" s="15">
        <v>1</v>
      </c>
      <c r="C5" s="16" t="e">
        <f>#REF!</f>
        <v>#REF!</v>
      </c>
    </row>
    <row r="6" spans="1:3" x14ac:dyDescent="0.2">
      <c r="A6" t="s">
        <v>18</v>
      </c>
      <c r="B6" s="15">
        <v>1</v>
      </c>
      <c r="C6" s="16" t="e">
        <f>#REF!</f>
        <v>#REF!</v>
      </c>
    </row>
    <row r="7" spans="1:3" x14ac:dyDescent="0.2">
      <c r="A7" t="s">
        <v>25</v>
      </c>
      <c r="B7" s="15">
        <v>1</v>
      </c>
      <c r="C7" s="16" t="e">
        <f>#REF!</f>
        <v>#REF!</v>
      </c>
    </row>
    <row r="8" spans="1:3" x14ac:dyDescent="0.2">
      <c r="A8" t="s">
        <v>45</v>
      </c>
      <c r="B8" s="15">
        <v>1</v>
      </c>
      <c r="C8" s="16" t="e">
        <f>#REF!</f>
        <v>#REF!</v>
      </c>
    </row>
    <row r="9" spans="1:3" x14ac:dyDescent="0.2">
      <c r="A9" t="s">
        <v>0</v>
      </c>
      <c r="B9" s="15">
        <v>1</v>
      </c>
      <c r="C9" s="16" t="e">
        <f>#REF!</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6432F-7829-4212-B580-48F909B6498A}">
  <sheetPr codeName="Hoja5"/>
  <dimension ref="A1:O50"/>
  <sheetViews>
    <sheetView showGridLines="0" topLeftCell="A4" workbookViewId="0">
      <selection activeCell="B10" sqref="B10"/>
    </sheetView>
  </sheetViews>
  <sheetFormatPr baseColWidth="10" defaultColWidth="11.5" defaultRowHeight="15" outlineLevelRow="1" x14ac:dyDescent="0.2"/>
  <cols>
    <col min="1" max="1" width="55.1640625" customWidth="1"/>
    <col min="6" max="6" width="4.5" customWidth="1"/>
    <col min="7" max="13" width="7" style="11" customWidth="1"/>
    <col min="14" max="14" width="7.83203125" customWidth="1"/>
    <col min="15" max="15" width="7" customWidth="1"/>
  </cols>
  <sheetData>
    <row r="1" spans="1:13" ht="17" thickBot="1" x14ac:dyDescent="0.25">
      <c r="A1" s="10" t="s">
        <v>46</v>
      </c>
      <c r="B1" s="3"/>
      <c r="C1" s="3" t="s">
        <v>47</v>
      </c>
      <c r="D1" s="3" t="s">
        <v>48</v>
      </c>
      <c r="E1" s="3" t="s">
        <v>49</v>
      </c>
    </row>
    <row r="2" spans="1:13" ht="17" thickTop="1" x14ac:dyDescent="0.2">
      <c r="A2" s="8"/>
      <c r="G2" s="12" t="s">
        <v>43</v>
      </c>
      <c r="H2" s="12" t="s">
        <v>44</v>
      </c>
      <c r="I2" s="12" t="s">
        <v>31</v>
      </c>
      <c r="J2" s="12" t="s">
        <v>1</v>
      </c>
      <c r="K2" s="12" t="s">
        <v>50</v>
      </c>
      <c r="L2" s="12" t="s">
        <v>3</v>
      </c>
      <c r="M2" s="12" t="s">
        <v>51</v>
      </c>
    </row>
    <row r="3" spans="1:13" ht="16" x14ac:dyDescent="0.2">
      <c r="A3" s="73" t="s">
        <v>52</v>
      </c>
      <c r="C3" s="5">
        <v>10</v>
      </c>
      <c r="D3" s="32">
        <v>10</v>
      </c>
      <c r="E3" s="33">
        <f>IF(D3&gt;C3,1,IFERROR(D3/C3,""))</f>
        <v>1</v>
      </c>
      <c r="G3" s="13" t="s">
        <v>53</v>
      </c>
      <c r="H3" s="13" t="s">
        <v>53</v>
      </c>
      <c r="I3" s="13" t="s">
        <v>53</v>
      </c>
      <c r="J3" s="13" t="s">
        <v>53</v>
      </c>
      <c r="K3" s="13" t="s">
        <v>53</v>
      </c>
      <c r="L3" s="13" t="s">
        <v>53</v>
      </c>
      <c r="M3" s="13" t="s">
        <v>53</v>
      </c>
    </row>
    <row r="4" spans="1:13" ht="16" x14ac:dyDescent="0.2">
      <c r="A4" s="73" t="s">
        <v>54</v>
      </c>
      <c r="C4" s="5">
        <v>10</v>
      </c>
      <c r="D4" s="32">
        <v>10</v>
      </c>
      <c r="E4" s="33">
        <f t="shared" ref="E4:E11" si="0">IF(D4&gt;C4,1,IFERROR(D4/C4,""))</f>
        <v>1</v>
      </c>
      <c r="G4" s="13" t="s">
        <v>53</v>
      </c>
      <c r="H4" s="13" t="s">
        <v>53</v>
      </c>
      <c r="I4" s="13" t="s">
        <v>53</v>
      </c>
      <c r="J4" s="13" t="s">
        <v>53</v>
      </c>
      <c r="K4" s="13" t="s">
        <v>53</v>
      </c>
      <c r="L4" s="13" t="s">
        <v>53</v>
      </c>
      <c r="M4" s="13" t="s">
        <v>53</v>
      </c>
    </row>
    <row r="5" spans="1:13" ht="16" x14ac:dyDescent="0.2">
      <c r="A5" s="73" t="s">
        <v>55</v>
      </c>
      <c r="C5" s="5">
        <v>7</v>
      </c>
      <c r="D5" s="32">
        <v>7</v>
      </c>
      <c r="E5" s="33">
        <f>IF(D5&gt;C5,1,IFERROR(D5/C5,""))</f>
        <v>1</v>
      </c>
      <c r="G5" s="13" t="s">
        <v>53</v>
      </c>
      <c r="H5" s="13" t="s">
        <v>53</v>
      </c>
      <c r="I5" s="13" t="s">
        <v>53</v>
      </c>
      <c r="J5" s="13" t="s">
        <v>53</v>
      </c>
      <c r="K5" s="13" t="s">
        <v>53</v>
      </c>
      <c r="L5" s="13" t="s">
        <v>53</v>
      </c>
      <c r="M5" s="13" t="s">
        <v>53</v>
      </c>
    </row>
    <row r="6" spans="1:13" ht="16" x14ac:dyDescent="0.2">
      <c r="A6" s="73" t="s">
        <v>56</v>
      </c>
      <c r="C6" s="5">
        <v>6</v>
      </c>
      <c r="D6" s="32">
        <v>6</v>
      </c>
      <c r="E6" s="33">
        <f t="shared" ref="E6" si="1">IF(D6&gt;C6,1,IFERROR(D6/C6,""))</f>
        <v>1</v>
      </c>
      <c r="G6" s="34" t="s">
        <v>53</v>
      </c>
      <c r="H6" s="34" t="s">
        <v>53</v>
      </c>
      <c r="I6" s="34" t="s">
        <v>53</v>
      </c>
      <c r="J6" s="13" t="s">
        <v>53</v>
      </c>
      <c r="K6" s="13" t="s">
        <v>53</v>
      </c>
      <c r="L6" s="13" t="s">
        <v>53</v>
      </c>
      <c r="M6" s="35"/>
    </row>
    <row r="7" spans="1:13" ht="16" x14ac:dyDescent="0.2">
      <c r="A7" s="73" t="s">
        <v>57</v>
      </c>
      <c r="C7" s="5">
        <v>6</v>
      </c>
      <c r="D7" s="32">
        <v>6</v>
      </c>
      <c r="E7" s="33">
        <f t="shared" si="0"/>
        <v>1</v>
      </c>
      <c r="G7" s="34" t="s">
        <v>53</v>
      </c>
      <c r="H7" s="34" t="s">
        <v>53</v>
      </c>
      <c r="I7" s="34" t="s">
        <v>53</v>
      </c>
      <c r="J7" s="34" t="s">
        <v>53</v>
      </c>
      <c r="K7" s="34" t="s">
        <v>53</v>
      </c>
      <c r="L7" s="34" t="s">
        <v>53</v>
      </c>
      <c r="M7" s="13" t="s">
        <v>53</v>
      </c>
    </row>
    <row r="8" spans="1:13" ht="16" x14ac:dyDescent="0.2">
      <c r="A8" s="73" t="s">
        <v>58</v>
      </c>
      <c r="C8" s="5">
        <v>6</v>
      </c>
      <c r="D8" s="32">
        <v>6</v>
      </c>
      <c r="E8" s="33">
        <f>IF(D8&gt;C8,1,IFERROR(D8/C8,""))</f>
        <v>1</v>
      </c>
      <c r="G8" s="13" t="s">
        <v>53</v>
      </c>
      <c r="H8" s="13" t="s">
        <v>53</v>
      </c>
      <c r="I8" s="13" t="s">
        <v>53</v>
      </c>
      <c r="J8" s="13" t="s">
        <v>53</v>
      </c>
      <c r="K8" s="13" t="s">
        <v>53</v>
      </c>
      <c r="L8" s="13" t="s">
        <v>53</v>
      </c>
      <c r="M8" s="35"/>
    </row>
    <row r="9" spans="1:13" ht="16" x14ac:dyDescent="0.2">
      <c r="A9" s="7" t="s">
        <v>59</v>
      </c>
      <c r="C9" s="5">
        <v>7</v>
      </c>
      <c r="D9" s="32">
        <v>6</v>
      </c>
      <c r="E9" s="33">
        <f t="shared" si="0"/>
        <v>0.8571428571428571</v>
      </c>
      <c r="G9" s="13" t="s">
        <v>53</v>
      </c>
      <c r="H9" s="13" t="s">
        <v>53</v>
      </c>
      <c r="I9" s="13" t="s">
        <v>53</v>
      </c>
      <c r="J9" s="13"/>
      <c r="K9" s="74"/>
      <c r="L9" s="13" t="s">
        <v>53</v>
      </c>
      <c r="M9" s="13" t="s">
        <v>53</v>
      </c>
    </row>
    <row r="10" spans="1:13" ht="16" x14ac:dyDescent="0.2">
      <c r="A10" s="7" t="s">
        <v>60</v>
      </c>
      <c r="C10" s="5">
        <v>6</v>
      </c>
      <c r="D10" s="32">
        <v>4</v>
      </c>
      <c r="E10" s="33">
        <f t="shared" si="0"/>
        <v>0.66666666666666663</v>
      </c>
      <c r="G10" s="74"/>
      <c r="H10" s="13" t="s">
        <v>53</v>
      </c>
      <c r="I10" s="13" t="s">
        <v>53</v>
      </c>
      <c r="J10" s="13"/>
      <c r="K10" s="13"/>
      <c r="L10" s="13" t="s">
        <v>53</v>
      </c>
      <c r="M10" s="13" t="s">
        <v>53</v>
      </c>
    </row>
    <row r="11" spans="1:13" ht="16" x14ac:dyDescent="0.2">
      <c r="A11" s="73" t="s">
        <v>61</v>
      </c>
      <c r="C11" s="5">
        <v>1</v>
      </c>
      <c r="D11" s="32">
        <v>1</v>
      </c>
      <c r="E11" s="33">
        <f t="shared" si="0"/>
        <v>1</v>
      </c>
      <c r="G11" s="13" t="s">
        <v>53</v>
      </c>
      <c r="H11" s="13"/>
      <c r="I11" s="13"/>
      <c r="J11" s="13" t="s">
        <v>53</v>
      </c>
      <c r="K11" s="13"/>
      <c r="L11" s="13"/>
      <c r="M11" s="13"/>
    </row>
    <row r="12" spans="1:13" ht="16" x14ac:dyDescent="0.2">
      <c r="A12" s="73"/>
      <c r="C12" s="5"/>
      <c r="D12" s="32"/>
      <c r="E12" s="33"/>
      <c r="G12" s="13"/>
      <c r="H12" s="13"/>
      <c r="I12" s="13"/>
      <c r="J12" s="13"/>
      <c r="K12" s="13"/>
      <c r="L12" s="13"/>
      <c r="M12" s="13"/>
    </row>
    <row r="13" spans="1:13" ht="16" x14ac:dyDescent="0.2">
      <c r="A13" s="7" t="s">
        <v>61</v>
      </c>
      <c r="C13" s="5">
        <v>1</v>
      </c>
      <c r="D13" s="32"/>
      <c r="E13" s="33">
        <f t="shared" ref="E13" si="2">IF(D13&gt;C13,1,IFERROR(D13/C13,""))</f>
        <v>0</v>
      </c>
      <c r="G13" s="13"/>
      <c r="H13" s="13"/>
      <c r="I13" s="74"/>
      <c r="J13" s="13"/>
      <c r="K13" s="74"/>
      <c r="L13" s="13"/>
      <c r="M13" s="13"/>
    </row>
    <row r="14" spans="1:13" ht="16" x14ac:dyDescent="0.2">
      <c r="A14" s="7" t="s">
        <v>58</v>
      </c>
      <c r="C14" s="5">
        <v>6</v>
      </c>
      <c r="D14" s="32">
        <v>2</v>
      </c>
      <c r="E14" s="33">
        <f>IF(D14&gt;C14,1,IFERROR(D14/C14,""))</f>
        <v>0.33333333333333331</v>
      </c>
      <c r="G14" s="13"/>
      <c r="H14" s="13" t="s">
        <v>53</v>
      </c>
      <c r="I14" s="13" t="s">
        <v>53</v>
      </c>
      <c r="J14" s="13"/>
      <c r="K14" s="13"/>
      <c r="L14" s="13"/>
      <c r="M14" s="13"/>
    </row>
    <row r="15" spans="1:13" ht="16" x14ac:dyDescent="0.2">
      <c r="A15" s="8"/>
    </row>
    <row r="16" spans="1:13" ht="16" x14ac:dyDescent="0.2">
      <c r="A16" s="10" t="s">
        <v>62</v>
      </c>
      <c r="B16" s="3"/>
      <c r="C16" s="3" t="s">
        <v>47</v>
      </c>
      <c r="D16" s="3" t="s">
        <v>48</v>
      </c>
      <c r="E16" s="3" t="s">
        <v>49</v>
      </c>
    </row>
    <row r="17" spans="1:15" ht="16" x14ac:dyDescent="0.2">
      <c r="A17" s="9"/>
      <c r="G17" s="12" t="s">
        <v>43</v>
      </c>
      <c r="H17" s="12" t="s">
        <v>44</v>
      </c>
      <c r="I17" s="12" t="s">
        <v>31</v>
      </c>
      <c r="J17" s="12" t="s">
        <v>1</v>
      </c>
      <c r="K17" s="12" t="s">
        <v>50</v>
      </c>
      <c r="L17" s="12" t="s">
        <v>3</v>
      </c>
      <c r="M17" s="12" t="s">
        <v>51</v>
      </c>
      <c r="N17" s="12" t="s">
        <v>30</v>
      </c>
      <c r="O17" s="12" t="s">
        <v>63</v>
      </c>
    </row>
    <row r="18" spans="1:15" ht="16" x14ac:dyDescent="0.2">
      <c r="A18" s="73" t="s">
        <v>61</v>
      </c>
      <c r="C18" s="5">
        <v>1</v>
      </c>
      <c r="D18" s="5">
        <f t="shared" ref="D18:D22" si="3">COUNTIF(G18:M18,"X")</f>
        <v>1</v>
      </c>
      <c r="E18" s="6">
        <f t="shared" ref="E18:E22" si="4">IF(D18&gt;C18,1,IFERROR(D18/C18,""))</f>
        <v>1</v>
      </c>
      <c r="G18" s="13"/>
      <c r="H18" s="13"/>
      <c r="I18" s="13"/>
      <c r="J18" s="13" t="s">
        <v>53</v>
      </c>
      <c r="K18" s="13"/>
      <c r="L18" s="13"/>
      <c r="M18" s="13"/>
      <c r="N18" s="35"/>
      <c r="O18" s="35"/>
    </row>
    <row r="19" spans="1:15" ht="16" x14ac:dyDescent="0.2">
      <c r="A19" s="7" t="s">
        <v>64</v>
      </c>
      <c r="C19" s="5">
        <v>1</v>
      </c>
      <c r="D19" s="5">
        <v>0</v>
      </c>
      <c r="E19" s="6">
        <f t="shared" si="4"/>
        <v>0</v>
      </c>
      <c r="G19" s="13"/>
      <c r="H19" s="13"/>
      <c r="I19" s="13" t="s">
        <v>53</v>
      </c>
      <c r="J19" s="13" t="s">
        <v>53</v>
      </c>
      <c r="K19" s="13"/>
      <c r="L19" s="13"/>
      <c r="M19" s="13"/>
      <c r="N19" s="35"/>
      <c r="O19" s="35"/>
    </row>
    <row r="20" spans="1:15" ht="16" x14ac:dyDescent="0.2">
      <c r="A20" s="7" t="s">
        <v>65</v>
      </c>
      <c r="C20" s="5">
        <v>6</v>
      </c>
      <c r="D20" s="5">
        <f t="shared" ref="D20" si="5">COUNTIF(G20:M20,"X")</f>
        <v>4</v>
      </c>
      <c r="E20" s="6">
        <f t="shared" ref="E20" si="6">IF(D20&gt;C20,1,IFERROR(D20/C20,""))</f>
        <v>0.66666666666666663</v>
      </c>
      <c r="G20" s="13"/>
      <c r="H20" s="35"/>
      <c r="I20" s="13" t="s">
        <v>53</v>
      </c>
      <c r="J20" s="13" t="s">
        <v>53</v>
      </c>
      <c r="K20" s="13" t="s">
        <v>53</v>
      </c>
      <c r="L20" s="13"/>
      <c r="M20" s="13" t="s">
        <v>53</v>
      </c>
      <c r="N20" s="35"/>
      <c r="O20" s="35"/>
    </row>
    <row r="21" spans="1:15" ht="16" x14ac:dyDescent="0.2">
      <c r="A21" s="7" t="s">
        <v>66</v>
      </c>
      <c r="C21" s="5">
        <v>4</v>
      </c>
      <c r="D21" s="5">
        <f t="shared" si="3"/>
        <v>0</v>
      </c>
      <c r="E21" s="6">
        <f t="shared" si="4"/>
        <v>0</v>
      </c>
      <c r="G21" s="35"/>
      <c r="H21" s="35"/>
      <c r="I21" s="13"/>
      <c r="J21" s="13"/>
      <c r="K21" s="13"/>
      <c r="L21" s="35"/>
      <c r="M21" s="41"/>
      <c r="N21" s="35"/>
      <c r="O21" s="35"/>
    </row>
    <row r="22" spans="1:15" ht="16" x14ac:dyDescent="0.2">
      <c r="A22" s="38" t="s">
        <v>67</v>
      </c>
      <c r="C22" s="5">
        <v>8</v>
      </c>
      <c r="D22" s="5">
        <f t="shared" si="3"/>
        <v>3</v>
      </c>
      <c r="E22" s="6">
        <f t="shared" si="4"/>
        <v>0.375</v>
      </c>
      <c r="G22" s="13" t="s">
        <v>53</v>
      </c>
      <c r="H22" s="13"/>
      <c r="I22" s="13"/>
      <c r="J22" s="13" t="s">
        <v>53</v>
      </c>
      <c r="K22" s="13" t="s">
        <v>53</v>
      </c>
      <c r="L22" s="35"/>
      <c r="M22" s="13"/>
      <c r="N22" s="13"/>
      <c r="O22" s="13"/>
    </row>
    <row r="23" spans="1:15" ht="16" x14ac:dyDescent="0.2">
      <c r="A23" s="7" t="s">
        <v>68</v>
      </c>
      <c r="C23" s="39"/>
      <c r="D23" s="39">
        <f>SUM(D24:D31)</f>
        <v>8</v>
      </c>
      <c r="E23" s="39"/>
      <c r="G23" s="13">
        <f>COUNTIF(G24:G30,"X")</f>
        <v>2</v>
      </c>
      <c r="H23" s="13">
        <f t="shared" ref="H23:N23" si="7">COUNTIF(H24:H30,"X")</f>
        <v>0</v>
      </c>
      <c r="I23" s="13">
        <f t="shared" si="7"/>
        <v>2</v>
      </c>
      <c r="J23" s="13">
        <f t="shared" si="7"/>
        <v>1</v>
      </c>
      <c r="K23" s="13">
        <f t="shared" si="7"/>
        <v>1</v>
      </c>
      <c r="L23" s="13">
        <f t="shared" si="7"/>
        <v>0</v>
      </c>
      <c r="M23" s="13">
        <f t="shared" si="7"/>
        <v>0</v>
      </c>
      <c r="N23" s="13">
        <f t="shared" si="7"/>
        <v>1</v>
      </c>
      <c r="O23" s="13"/>
    </row>
    <row r="24" spans="1:15" ht="16" hidden="1" outlineLevel="1" x14ac:dyDescent="0.2">
      <c r="A24" s="40" t="s">
        <v>69</v>
      </c>
      <c r="C24" s="39"/>
      <c r="D24" s="39">
        <f>COUNTIF(G24:N24,"X")</f>
        <v>1</v>
      </c>
      <c r="E24" s="6"/>
      <c r="G24" s="13"/>
      <c r="H24" s="13"/>
      <c r="I24" s="13"/>
      <c r="J24" s="13" t="s">
        <v>53</v>
      </c>
      <c r="K24" s="13"/>
      <c r="L24" s="13"/>
      <c r="M24" s="13"/>
      <c r="N24" s="13"/>
      <c r="O24" s="13"/>
    </row>
    <row r="25" spans="1:15" ht="16" hidden="1" outlineLevel="1" x14ac:dyDescent="0.2">
      <c r="A25" s="40" t="s">
        <v>70</v>
      </c>
      <c r="C25" s="39"/>
      <c r="D25" s="39">
        <f t="shared" ref="D25:D30" si="8">COUNTIF(G25:N25,"X")</f>
        <v>1</v>
      </c>
      <c r="E25" s="6"/>
      <c r="G25" s="13"/>
      <c r="H25" s="13"/>
      <c r="I25" s="13" t="s">
        <v>53</v>
      </c>
      <c r="J25" s="13"/>
      <c r="K25" s="13"/>
      <c r="L25" s="13"/>
      <c r="M25" s="13"/>
      <c r="N25" s="13"/>
      <c r="O25" s="13"/>
    </row>
    <row r="26" spans="1:15" ht="16" hidden="1" outlineLevel="1" x14ac:dyDescent="0.2">
      <c r="A26" s="40" t="s">
        <v>71</v>
      </c>
      <c r="C26" s="39"/>
      <c r="D26" s="39">
        <f t="shared" si="8"/>
        <v>1</v>
      </c>
      <c r="E26" s="6"/>
      <c r="G26" s="13"/>
      <c r="H26" s="13"/>
      <c r="I26" s="13" t="s">
        <v>53</v>
      </c>
      <c r="J26" s="13"/>
      <c r="K26" s="13"/>
      <c r="L26" s="13"/>
      <c r="M26" s="13"/>
      <c r="N26" s="13"/>
      <c r="O26" s="13"/>
    </row>
    <row r="27" spans="1:15" ht="16" hidden="1" outlineLevel="1" x14ac:dyDescent="0.2">
      <c r="A27" s="40" t="s">
        <v>72</v>
      </c>
      <c r="C27" s="39"/>
      <c r="D27" s="39">
        <f t="shared" si="8"/>
        <v>1</v>
      </c>
      <c r="E27" s="6"/>
      <c r="G27" s="13" t="s">
        <v>53</v>
      </c>
      <c r="H27" s="13"/>
      <c r="I27" s="13"/>
      <c r="J27" s="13"/>
      <c r="K27" s="13"/>
      <c r="L27" s="13"/>
      <c r="M27" s="13"/>
      <c r="N27" s="13"/>
      <c r="O27" s="13"/>
    </row>
    <row r="28" spans="1:15" ht="16" hidden="1" outlineLevel="1" x14ac:dyDescent="0.2">
      <c r="A28" s="40" t="s">
        <v>73</v>
      </c>
      <c r="C28" s="39"/>
      <c r="D28" s="39">
        <f t="shared" si="8"/>
        <v>1</v>
      </c>
      <c r="E28" s="6"/>
      <c r="G28" s="13" t="s">
        <v>53</v>
      </c>
      <c r="H28" s="13"/>
      <c r="I28" s="13"/>
      <c r="J28" s="13"/>
      <c r="K28" s="13"/>
      <c r="L28" s="13"/>
      <c r="M28" s="13"/>
      <c r="N28" s="13"/>
      <c r="O28" s="13"/>
    </row>
    <row r="29" spans="1:15" ht="16" hidden="1" outlineLevel="1" x14ac:dyDescent="0.2">
      <c r="A29" s="40" t="s">
        <v>74</v>
      </c>
      <c r="C29" s="39"/>
      <c r="D29" s="39">
        <f t="shared" si="8"/>
        <v>1</v>
      </c>
      <c r="E29" s="6"/>
      <c r="G29" s="13"/>
      <c r="H29" s="13"/>
      <c r="I29" s="13"/>
      <c r="J29" s="13"/>
      <c r="K29" s="13" t="s">
        <v>53</v>
      </c>
      <c r="L29" s="13"/>
      <c r="M29" s="13"/>
      <c r="N29" s="13"/>
      <c r="O29" s="13"/>
    </row>
    <row r="30" spans="1:15" ht="16" hidden="1" outlineLevel="1" x14ac:dyDescent="0.2">
      <c r="A30" s="40" t="s">
        <v>75</v>
      </c>
      <c r="C30" s="39"/>
      <c r="D30" s="39">
        <f t="shared" si="8"/>
        <v>1</v>
      </c>
      <c r="E30" s="6"/>
      <c r="G30" s="13"/>
      <c r="H30" s="13"/>
      <c r="I30" s="13"/>
      <c r="J30" s="13"/>
      <c r="K30" s="13"/>
      <c r="L30" s="13"/>
      <c r="M30" s="13"/>
      <c r="N30" s="13" t="s">
        <v>53</v>
      </c>
      <c r="O30" s="13"/>
    </row>
    <row r="31" spans="1:15" ht="16" hidden="1" outlineLevel="1" x14ac:dyDescent="0.2">
      <c r="A31" s="40" t="s">
        <v>76</v>
      </c>
      <c r="C31" s="39"/>
      <c r="D31" s="39">
        <f t="shared" ref="D31" si="9">COUNTIF(G31:N31,"X")</f>
        <v>1</v>
      </c>
      <c r="E31" s="6"/>
      <c r="G31" s="13"/>
      <c r="H31" s="13"/>
      <c r="I31" s="13"/>
      <c r="J31" s="13" t="s">
        <v>53</v>
      </c>
      <c r="K31" s="13"/>
      <c r="L31" s="13"/>
      <c r="M31" s="13"/>
      <c r="N31" s="13"/>
      <c r="O31" s="13"/>
    </row>
    <row r="32" spans="1:15" ht="16" collapsed="1" x14ac:dyDescent="0.2">
      <c r="A32" s="38" t="s">
        <v>77</v>
      </c>
      <c r="C32" s="39"/>
      <c r="D32" s="39">
        <f>SUM(D33:D49)</f>
        <v>20</v>
      </c>
      <c r="E32" s="39"/>
      <c r="G32" s="13">
        <f t="shared" ref="G32:N32" si="10">COUNTIF(G33:G49,"X")</f>
        <v>4</v>
      </c>
      <c r="H32" s="13">
        <f t="shared" si="10"/>
        <v>0</v>
      </c>
      <c r="I32" s="13">
        <f t="shared" si="10"/>
        <v>3</v>
      </c>
      <c r="J32" s="13">
        <f t="shared" si="10"/>
        <v>4</v>
      </c>
      <c r="K32" s="13">
        <f t="shared" si="10"/>
        <v>1</v>
      </c>
      <c r="L32" s="13">
        <f t="shared" si="10"/>
        <v>0</v>
      </c>
      <c r="M32" s="13">
        <f t="shared" si="10"/>
        <v>1</v>
      </c>
      <c r="N32" s="13">
        <f t="shared" si="10"/>
        <v>1</v>
      </c>
      <c r="O32" s="13"/>
    </row>
    <row r="33" spans="1:15" ht="16" hidden="1" outlineLevel="1" x14ac:dyDescent="0.2">
      <c r="A33" s="40" t="s">
        <v>78</v>
      </c>
      <c r="C33" s="39"/>
      <c r="D33" s="39">
        <f>COUNTIF(G33:N33,"X")</f>
        <v>1</v>
      </c>
      <c r="E33" s="6"/>
      <c r="G33" s="13"/>
      <c r="H33" s="13"/>
      <c r="I33" s="13"/>
      <c r="J33" s="13" t="s">
        <v>53</v>
      </c>
      <c r="K33" s="13"/>
      <c r="L33" s="13"/>
      <c r="M33" s="13"/>
      <c r="N33" s="13"/>
      <c r="O33" s="13"/>
    </row>
    <row r="34" spans="1:15" ht="16" hidden="1" outlineLevel="1" x14ac:dyDescent="0.2">
      <c r="A34" s="40" t="s">
        <v>79</v>
      </c>
      <c r="C34" s="39"/>
      <c r="D34" s="39">
        <f t="shared" ref="D34:D37" si="11">COUNTIF(G34:N34,"X")</f>
        <v>1</v>
      </c>
      <c r="E34" s="6"/>
      <c r="G34" s="13"/>
      <c r="H34" s="13"/>
      <c r="I34" s="13" t="s">
        <v>53</v>
      </c>
      <c r="J34" s="13"/>
      <c r="K34" s="13"/>
      <c r="L34" s="13"/>
      <c r="M34" s="13"/>
      <c r="N34" s="13"/>
      <c r="O34" s="13"/>
    </row>
    <row r="35" spans="1:15" ht="16" hidden="1" outlineLevel="1" x14ac:dyDescent="0.2">
      <c r="A35" s="40" t="s">
        <v>80</v>
      </c>
      <c r="C35" s="39"/>
      <c r="D35" s="39">
        <f t="shared" si="11"/>
        <v>1</v>
      </c>
      <c r="E35" s="6"/>
      <c r="G35" s="13"/>
      <c r="H35" s="13"/>
      <c r="I35" s="13" t="s">
        <v>53</v>
      </c>
      <c r="J35" s="13"/>
      <c r="K35" s="13"/>
      <c r="L35" s="13"/>
      <c r="M35" s="13"/>
      <c r="N35" s="13"/>
      <c r="O35" s="13"/>
    </row>
    <row r="36" spans="1:15" ht="16" hidden="1" outlineLevel="1" x14ac:dyDescent="0.2">
      <c r="A36" s="40" t="s">
        <v>81</v>
      </c>
      <c r="C36" s="39"/>
      <c r="D36" s="39">
        <f t="shared" si="11"/>
        <v>1</v>
      </c>
      <c r="E36" s="6"/>
      <c r="G36" s="13" t="s">
        <v>53</v>
      </c>
      <c r="H36" s="13"/>
      <c r="I36" s="13"/>
      <c r="J36" s="13"/>
      <c r="K36" s="13"/>
      <c r="L36" s="13"/>
      <c r="M36" s="13"/>
      <c r="N36" s="13"/>
      <c r="O36" s="13"/>
    </row>
    <row r="37" spans="1:15" ht="16" hidden="1" outlineLevel="1" x14ac:dyDescent="0.2">
      <c r="A37" s="40" t="s">
        <v>82</v>
      </c>
      <c r="C37" s="39"/>
      <c r="D37" s="39">
        <f t="shared" si="11"/>
        <v>1</v>
      </c>
      <c r="E37" s="6"/>
      <c r="G37" s="13" t="s">
        <v>53</v>
      </c>
      <c r="H37" s="13"/>
      <c r="I37" s="13"/>
      <c r="J37" s="13"/>
      <c r="K37" s="13"/>
      <c r="L37" s="13"/>
      <c r="M37" s="13"/>
      <c r="N37" s="13"/>
      <c r="O37" s="13"/>
    </row>
    <row r="38" spans="1:15" ht="16" hidden="1" outlineLevel="1" x14ac:dyDescent="0.2">
      <c r="A38" s="40" t="s">
        <v>83</v>
      </c>
      <c r="C38" s="39"/>
      <c r="D38" s="39">
        <f t="shared" ref="D38:D39" si="12">COUNTIF(G38:N38,"X")</f>
        <v>1</v>
      </c>
      <c r="E38" s="6"/>
      <c r="G38" s="13"/>
      <c r="H38" s="13"/>
      <c r="I38" s="13"/>
      <c r="J38" s="13" t="s">
        <v>53</v>
      </c>
      <c r="K38" s="13"/>
      <c r="L38" s="13"/>
      <c r="M38" s="13"/>
      <c r="N38" s="13"/>
      <c r="O38" s="13"/>
    </row>
    <row r="39" spans="1:15" ht="16" hidden="1" outlineLevel="1" x14ac:dyDescent="0.2">
      <c r="A39" s="40" t="s">
        <v>84</v>
      </c>
      <c r="C39" s="39"/>
      <c r="D39" s="39">
        <f t="shared" si="12"/>
        <v>1</v>
      </c>
      <c r="E39" s="6"/>
      <c r="G39" s="13"/>
      <c r="H39" s="13"/>
      <c r="I39" s="13"/>
      <c r="J39" s="13"/>
      <c r="K39" s="13"/>
      <c r="L39" s="13"/>
      <c r="M39" s="13"/>
      <c r="N39" s="13" t="s">
        <v>53</v>
      </c>
      <c r="O39" s="13"/>
    </row>
    <row r="40" spans="1:15" ht="16" collapsed="1" x14ac:dyDescent="0.2">
      <c r="A40" s="38" t="s">
        <v>85</v>
      </c>
      <c r="C40" s="5">
        <v>8</v>
      </c>
      <c r="D40" s="5">
        <f>SUM(D41:D47)</f>
        <v>5</v>
      </c>
      <c r="E40" s="6">
        <f>IF(D40&gt;C40,1,IFERROR(D40/C40,""))</f>
        <v>0.625</v>
      </c>
      <c r="G40" s="13">
        <f t="shared" ref="G40:N40" si="13">COUNTIF(G41:G47,"X")</f>
        <v>1</v>
      </c>
      <c r="H40" s="13">
        <f t="shared" si="13"/>
        <v>0</v>
      </c>
      <c r="I40" s="13">
        <f t="shared" si="13"/>
        <v>0</v>
      </c>
      <c r="J40" s="13">
        <f t="shared" si="13"/>
        <v>2</v>
      </c>
      <c r="K40" s="13">
        <f t="shared" si="13"/>
        <v>1</v>
      </c>
      <c r="L40" s="13">
        <f t="shared" si="13"/>
        <v>0</v>
      </c>
      <c r="M40" s="13">
        <f t="shared" si="13"/>
        <v>0</v>
      </c>
      <c r="N40" s="13">
        <f t="shared" si="13"/>
        <v>0</v>
      </c>
      <c r="O40" s="13"/>
    </row>
    <row r="41" spans="1:15" ht="16" hidden="1" outlineLevel="1" x14ac:dyDescent="0.2">
      <c r="A41" s="40" t="s">
        <v>86</v>
      </c>
      <c r="C41" s="39"/>
      <c r="D41" s="39">
        <f t="shared" ref="D41" si="14">COUNTIF(G41:N41,"X")</f>
        <v>1</v>
      </c>
      <c r="E41" s="6"/>
      <c r="G41" s="13"/>
      <c r="H41" s="13"/>
      <c r="I41" s="13"/>
      <c r="J41" s="13"/>
      <c r="K41" s="13" t="s">
        <v>53</v>
      </c>
      <c r="L41" s="13"/>
      <c r="M41" s="13"/>
      <c r="N41" s="13"/>
      <c r="O41" s="13"/>
    </row>
    <row r="42" spans="1:15" ht="16" hidden="1" outlineLevel="1" x14ac:dyDescent="0.2">
      <c r="A42" s="40" t="s">
        <v>87</v>
      </c>
      <c r="C42" s="39"/>
      <c r="D42" s="39">
        <f t="shared" ref="D42:D47" si="15">COUNTIF(G42:N42,"X")</f>
        <v>1</v>
      </c>
      <c r="E42" s="6"/>
      <c r="G42" s="13" t="s">
        <v>53</v>
      </c>
      <c r="H42" s="13"/>
      <c r="I42" s="13"/>
      <c r="J42" s="13"/>
      <c r="K42" s="13"/>
      <c r="L42" s="13"/>
      <c r="M42" s="13"/>
      <c r="N42" s="13"/>
      <c r="O42" s="13"/>
    </row>
    <row r="43" spans="1:15" ht="16" hidden="1" outlineLevel="1" x14ac:dyDescent="0.2">
      <c r="A43" s="40" t="s">
        <v>88</v>
      </c>
      <c r="C43" s="39"/>
      <c r="D43" s="39">
        <f t="shared" si="15"/>
        <v>1</v>
      </c>
      <c r="E43" s="6"/>
      <c r="G43" s="13"/>
      <c r="H43" s="13"/>
      <c r="I43" s="13"/>
      <c r="J43" s="13" t="s">
        <v>53</v>
      </c>
      <c r="K43" s="13"/>
      <c r="L43" s="13"/>
      <c r="M43" s="13"/>
      <c r="N43" s="13"/>
      <c r="O43" s="13"/>
    </row>
    <row r="44" spans="1:15" s="40" customFormat="1" ht="16" hidden="1" outlineLevel="1" x14ac:dyDescent="0.2">
      <c r="A44" s="40" t="s">
        <v>78</v>
      </c>
      <c r="C44" s="39"/>
      <c r="D44" s="39">
        <f t="shared" ref="D44" si="16">COUNTIF(G44:N44,"X")</f>
        <v>1</v>
      </c>
      <c r="E44" s="6"/>
      <c r="F44"/>
      <c r="G44" s="13"/>
      <c r="H44" s="13"/>
      <c r="I44" s="13"/>
      <c r="J44" s="13" t="s">
        <v>53</v>
      </c>
      <c r="K44" s="13"/>
      <c r="L44" s="13"/>
      <c r="M44" s="13"/>
      <c r="N44" s="13"/>
      <c r="O44" s="13"/>
    </row>
    <row r="45" spans="1:15" ht="16" hidden="1" outlineLevel="1" x14ac:dyDescent="0.2">
      <c r="A45" s="40" t="s">
        <v>89</v>
      </c>
      <c r="C45" s="39"/>
      <c r="D45" s="39">
        <v>1</v>
      </c>
      <c r="E45" s="6"/>
      <c r="G45" s="13"/>
      <c r="H45" s="13"/>
      <c r="I45" s="13"/>
      <c r="J45" s="13"/>
      <c r="K45" s="13"/>
      <c r="L45" s="13"/>
      <c r="M45" s="13"/>
      <c r="N45" s="13"/>
      <c r="O45" s="13"/>
    </row>
    <row r="46" spans="1:15" ht="16" hidden="1" outlineLevel="1" x14ac:dyDescent="0.2">
      <c r="A46" s="38" t="s">
        <v>90</v>
      </c>
      <c r="C46" s="39"/>
      <c r="D46" s="39">
        <f t="shared" si="15"/>
        <v>0</v>
      </c>
      <c r="E46" s="6"/>
      <c r="G46" s="13"/>
      <c r="H46" s="13"/>
      <c r="I46" s="13"/>
      <c r="J46" s="13"/>
      <c r="K46" s="13"/>
      <c r="L46" s="13"/>
      <c r="M46" s="13"/>
      <c r="N46" s="13"/>
      <c r="O46" s="13"/>
    </row>
    <row r="47" spans="1:15" ht="16" hidden="1" outlineLevel="1" x14ac:dyDescent="0.2">
      <c r="A47" s="40"/>
      <c r="C47" s="39"/>
      <c r="D47" s="39">
        <f t="shared" si="15"/>
        <v>0</v>
      </c>
      <c r="E47" s="6"/>
      <c r="G47" s="13"/>
      <c r="H47" s="13"/>
      <c r="I47" s="13"/>
      <c r="J47" s="13"/>
      <c r="K47" s="13"/>
      <c r="L47" s="13"/>
      <c r="M47" s="13"/>
      <c r="N47" s="13"/>
      <c r="O47" s="13"/>
    </row>
    <row r="48" spans="1:15" ht="16" hidden="1" outlineLevel="1" x14ac:dyDescent="0.2">
      <c r="A48" s="38" t="s">
        <v>91</v>
      </c>
      <c r="C48" s="39"/>
      <c r="D48" s="39">
        <f>COUNTIF(G48:N48,"X")</f>
        <v>0</v>
      </c>
      <c r="E48" s="6"/>
      <c r="G48" s="13"/>
      <c r="H48" s="13"/>
      <c r="I48" s="13"/>
      <c r="J48" s="13"/>
      <c r="K48" s="13"/>
      <c r="L48" s="13"/>
      <c r="M48" s="13"/>
      <c r="N48" s="13"/>
      <c r="O48" s="13"/>
    </row>
    <row r="49" spans="1:15" ht="16" hidden="1" outlineLevel="1" x14ac:dyDescent="0.2">
      <c r="A49" s="40" t="s">
        <v>92</v>
      </c>
      <c r="C49" s="39"/>
      <c r="D49" s="39">
        <f>COUNTIF(G49:N49,"X")</f>
        <v>3</v>
      </c>
      <c r="E49" s="6"/>
      <c r="G49" s="13" t="s">
        <v>53</v>
      </c>
      <c r="H49" s="13"/>
      <c r="I49" s="13" t="s">
        <v>53</v>
      </c>
      <c r="J49" s="13"/>
      <c r="K49" s="13"/>
      <c r="L49" s="13"/>
      <c r="M49" s="13" t="s">
        <v>53</v>
      </c>
      <c r="N49" s="13"/>
      <c r="O49" s="13"/>
    </row>
    <row r="50" spans="1:15" ht="16" collapsed="1" x14ac:dyDescent="0.2">
      <c r="A50" s="2"/>
    </row>
  </sheetData>
  <conditionalFormatting sqref="E3:E14">
    <cfRule type="cellIs" dxfId="279" priority="17" operator="between">
      <formula>0.64</formula>
      <formula>0.8</formula>
    </cfRule>
    <cfRule type="cellIs" dxfId="278" priority="18" operator="between">
      <formula>0.79</formula>
      <formula>0.9</formula>
    </cfRule>
    <cfRule type="cellIs" dxfId="277" priority="19" operator="between">
      <formula>0.89</formula>
      <formula>1</formula>
    </cfRule>
  </conditionalFormatting>
  <conditionalFormatting sqref="E3:E49">
    <cfRule type="cellIs" dxfId="276" priority="8" operator="between">
      <formula>0</formula>
      <formula>0.64</formula>
    </cfRule>
  </conditionalFormatting>
  <conditionalFormatting sqref="E18:E22">
    <cfRule type="cellIs" dxfId="275" priority="9" operator="between">
      <formula>0.64</formula>
      <formula>0.8</formula>
    </cfRule>
    <cfRule type="cellIs" dxfId="274" priority="10" operator="between">
      <formula>0.79</formula>
      <formula>0.9</formula>
    </cfRule>
    <cfRule type="cellIs" dxfId="273" priority="11" operator="between">
      <formula>0.89</formula>
      <formula>1</formula>
    </cfRule>
  </conditionalFormatting>
  <conditionalFormatting sqref="E24:E31">
    <cfRule type="cellIs" dxfId="272" priority="75" operator="between">
      <formula>0.64</formula>
      <formula>0.8</formula>
    </cfRule>
    <cfRule type="cellIs" dxfId="271" priority="76" operator="between">
      <formula>0.79</formula>
      <formula>0.9</formula>
    </cfRule>
    <cfRule type="cellIs" dxfId="270" priority="77" operator="between">
      <formula>0.89</formula>
      <formula>1</formula>
    </cfRule>
  </conditionalFormatting>
  <conditionalFormatting sqref="E33:E49">
    <cfRule type="cellIs" dxfId="269" priority="33" operator="between">
      <formula>0.64</formula>
      <formula>0.8</formula>
    </cfRule>
    <cfRule type="cellIs" dxfId="268" priority="34" operator="between">
      <formula>0.79</formula>
      <formula>0.9</formula>
    </cfRule>
    <cfRule type="cellIs" dxfId="267" priority="35" operator="between">
      <formula>0.89</formula>
      <formula>1</formula>
    </cfRule>
  </conditionalFormatting>
  <conditionalFormatting sqref="G20:L21">
    <cfRule type="cellIs" dxfId="266" priority="1" operator="equal">
      <formula>"x"</formula>
    </cfRule>
  </conditionalFormatting>
  <conditionalFormatting sqref="G3:M14">
    <cfRule type="cellIs" dxfId="265" priority="12" operator="equal">
      <formula>"x"</formula>
    </cfRule>
  </conditionalFormatting>
  <conditionalFormatting sqref="G22:M31">
    <cfRule type="cellIs" dxfId="264" priority="95" operator="equal">
      <formula>"x"</formula>
    </cfRule>
  </conditionalFormatting>
  <conditionalFormatting sqref="G23:N43">
    <cfRule type="cellIs" dxfId="263" priority="98" operator="equal">
      <formula>"x"</formula>
    </cfRule>
  </conditionalFormatting>
  <conditionalFormatting sqref="G18:O19">
    <cfRule type="cellIs" dxfId="262" priority="25" operator="equal">
      <formula>"x"</formula>
    </cfRule>
  </conditionalFormatting>
  <conditionalFormatting sqref="G44:O49">
    <cfRule type="cellIs" dxfId="261" priority="31" operator="equal">
      <formula>"x"</formula>
    </cfRule>
  </conditionalFormatting>
  <conditionalFormatting sqref="M21">
    <cfRule type="cellIs" dxfId="260" priority="96" operator="equal">
      <formula>"x"</formula>
    </cfRule>
  </conditionalFormatting>
  <conditionalFormatting sqref="M20:O20">
    <cfRule type="cellIs" dxfId="259" priority="3" operator="equal">
      <formula>"x"</formula>
    </cfRule>
  </conditionalFormatting>
  <conditionalFormatting sqref="N21:O43">
    <cfRule type="cellIs" dxfId="258" priority="46" operator="equal">
      <formula>"x"</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4D11-D898-49B0-BC1C-F473A480A87E}">
  <sheetPr codeName="Hoja6"/>
  <dimension ref="A1:O20"/>
  <sheetViews>
    <sheetView showGridLines="0" workbookViewId="0"/>
  </sheetViews>
  <sheetFormatPr baseColWidth="10" defaultColWidth="9.1640625" defaultRowHeight="15" x14ac:dyDescent="0.2"/>
  <cols>
    <col min="1" max="1" width="45" customWidth="1"/>
    <col min="2" max="2" width="9.83203125" customWidth="1"/>
    <col min="7" max="7" width="10.1640625" customWidth="1"/>
    <col min="9" max="9" width="10.5" customWidth="1"/>
    <col min="11" max="11" width="12.5" customWidth="1"/>
  </cols>
  <sheetData>
    <row r="1" spans="1:15" ht="17" thickBot="1" x14ac:dyDescent="0.25">
      <c r="A1" s="10" t="s">
        <v>46</v>
      </c>
      <c r="B1" s="3"/>
      <c r="C1" s="3" t="s">
        <v>47</v>
      </c>
      <c r="D1" s="3" t="s">
        <v>48</v>
      </c>
      <c r="E1" s="3" t="s">
        <v>49</v>
      </c>
      <c r="G1" s="11"/>
      <c r="H1" s="11"/>
      <c r="I1" s="11"/>
      <c r="J1" s="11"/>
      <c r="K1" s="11"/>
      <c r="L1" s="11"/>
      <c r="M1" s="11"/>
    </row>
    <row r="2" spans="1:15" ht="17" thickTop="1" x14ac:dyDescent="0.2">
      <c r="A2" s="8"/>
      <c r="G2" s="12" t="s">
        <v>43</v>
      </c>
      <c r="H2" s="12" t="s">
        <v>44</v>
      </c>
      <c r="I2" s="12" t="s">
        <v>31</v>
      </c>
      <c r="J2" s="12" t="s">
        <v>1</v>
      </c>
      <c r="K2" s="12" t="s">
        <v>50</v>
      </c>
      <c r="L2" s="12" t="s">
        <v>3</v>
      </c>
      <c r="M2" s="12" t="s">
        <v>51</v>
      </c>
      <c r="N2" s="12" t="s">
        <v>30</v>
      </c>
      <c r="O2" s="12" t="s">
        <v>63</v>
      </c>
    </row>
    <row r="3" spans="1:15" ht="16" x14ac:dyDescent="0.2">
      <c r="A3" s="76" t="s">
        <v>93</v>
      </c>
      <c r="C3" s="5">
        <v>7</v>
      </c>
      <c r="D3" s="32">
        <v>7</v>
      </c>
      <c r="E3" s="33">
        <f>IF(D3&gt;C3,1,IFERROR(D3/C3,""))</f>
        <v>1</v>
      </c>
      <c r="G3" s="13" t="s">
        <v>53</v>
      </c>
      <c r="H3" s="13" t="s">
        <v>53</v>
      </c>
      <c r="I3" s="13" t="s">
        <v>53</v>
      </c>
      <c r="J3" s="13" t="s">
        <v>53</v>
      </c>
      <c r="K3" s="13" t="s">
        <v>53</v>
      </c>
      <c r="L3" s="13" t="s">
        <v>53</v>
      </c>
      <c r="M3" s="13" t="s">
        <v>53</v>
      </c>
      <c r="N3" s="35"/>
      <c r="O3" s="35"/>
    </row>
    <row r="4" spans="1:15" ht="16" x14ac:dyDescent="0.2">
      <c r="A4" s="76" t="s">
        <v>94</v>
      </c>
      <c r="C4" s="5">
        <v>6</v>
      </c>
      <c r="D4" s="32">
        <v>6</v>
      </c>
      <c r="E4" s="33">
        <f t="shared" ref="E4:E7" si="0">IF(D4&gt;C4,1,IFERROR(D4/C4,""))</f>
        <v>1</v>
      </c>
      <c r="G4" s="13" t="s">
        <v>53</v>
      </c>
      <c r="H4" s="13" t="s">
        <v>53</v>
      </c>
      <c r="I4" s="13" t="s">
        <v>53</v>
      </c>
      <c r="J4" s="13" t="s">
        <v>53</v>
      </c>
      <c r="K4" s="13" t="s">
        <v>53</v>
      </c>
      <c r="L4" s="13" t="s">
        <v>53</v>
      </c>
      <c r="M4" s="13" t="s">
        <v>53</v>
      </c>
      <c r="N4" s="35"/>
      <c r="O4" s="35"/>
    </row>
    <row r="5" spans="1:15" ht="16" x14ac:dyDescent="0.2">
      <c r="A5" s="76" t="s">
        <v>95</v>
      </c>
      <c r="C5" s="5">
        <v>5</v>
      </c>
      <c r="D5" s="32">
        <v>5</v>
      </c>
      <c r="E5" s="33">
        <f>IF(D5&gt;C5,1,IFERROR(D5/C5,""))</f>
        <v>1</v>
      </c>
      <c r="G5" s="13" t="s">
        <v>53</v>
      </c>
      <c r="H5" s="35"/>
      <c r="I5" s="13" t="s">
        <v>53</v>
      </c>
      <c r="J5" s="13" t="s">
        <v>53</v>
      </c>
      <c r="K5" s="13" t="s">
        <v>53</v>
      </c>
      <c r="L5" s="13" t="s">
        <v>53</v>
      </c>
      <c r="M5" s="35"/>
      <c r="N5" s="35"/>
      <c r="O5" s="13"/>
    </row>
    <row r="6" spans="1:15" ht="16" x14ac:dyDescent="0.2">
      <c r="A6" s="76" t="s">
        <v>96</v>
      </c>
      <c r="C6" s="5">
        <v>5</v>
      </c>
      <c r="D6" s="32">
        <v>5</v>
      </c>
      <c r="E6" s="33">
        <f t="shared" si="0"/>
        <v>1</v>
      </c>
      <c r="G6" s="13" t="s">
        <v>53</v>
      </c>
      <c r="H6" s="35"/>
      <c r="I6" s="13" t="s">
        <v>53</v>
      </c>
      <c r="J6" s="13" t="s">
        <v>53</v>
      </c>
      <c r="K6" s="13" t="s">
        <v>53</v>
      </c>
      <c r="L6" s="13" t="s">
        <v>53</v>
      </c>
      <c r="M6" s="35"/>
      <c r="N6" s="35"/>
      <c r="O6" s="35"/>
    </row>
    <row r="7" spans="1:15" ht="16" x14ac:dyDescent="0.2">
      <c r="A7" s="76" t="s">
        <v>97</v>
      </c>
      <c r="C7" s="5">
        <v>6</v>
      </c>
      <c r="D7" s="32">
        <v>6</v>
      </c>
      <c r="E7" s="33">
        <f t="shared" si="0"/>
        <v>1</v>
      </c>
      <c r="G7" s="13" t="s">
        <v>53</v>
      </c>
      <c r="H7" s="35"/>
      <c r="I7" s="13" t="s">
        <v>53</v>
      </c>
      <c r="J7" s="13" t="s">
        <v>53</v>
      </c>
      <c r="K7" s="13" t="s">
        <v>53</v>
      </c>
      <c r="L7" s="13" t="s">
        <v>53</v>
      </c>
      <c r="M7" s="35"/>
      <c r="N7" s="35"/>
      <c r="O7" s="35"/>
    </row>
    <row r="8" spans="1:15" ht="16" x14ac:dyDescent="0.2">
      <c r="A8" s="77"/>
      <c r="G8" s="11"/>
      <c r="H8" s="11"/>
      <c r="I8" s="11"/>
      <c r="J8" s="11"/>
      <c r="K8" s="11"/>
      <c r="L8" s="11"/>
      <c r="M8" s="11"/>
    </row>
    <row r="9" spans="1:15" ht="16" x14ac:dyDescent="0.2">
      <c r="A9" s="78" t="s">
        <v>62</v>
      </c>
      <c r="B9" s="3"/>
      <c r="C9" s="3" t="s">
        <v>47</v>
      </c>
      <c r="D9" s="3" t="s">
        <v>48</v>
      </c>
      <c r="E9" s="3" t="s">
        <v>49</v>
      </c>
      <c r="G9" s="11"/>
      <c r="H9" s="11"/>
      <c r="I9" s="11"/>
      <c r="J9" s="11"/>
      <c r="K9" s="11"/>
      <c r="L9" s="11"/>
      <c r="M9" s="11"/>
    </row>
    <row r="10" spans="1:15" ht="16" x14ac:dyDescent="0.2">
      <c r="A10" s="79"/>
      <c r="G10" s="12" t="s">
        <v>43</v>
      </c>
      <c r="H10" s="12" t="s">
        <v>44</v>
      </c>
      <c r="I10" s="12" t="s">
        <v>31</v>
      </c>
      <c r="J10" s="12" t="s">
        <v>1</v>
      </c>
      <c r="K10" s="12" t="s">
        <v>50</v>
      </c>
      <c r="L10" s="12" t="s">
        <v>3</v>
      </c>
      <c r="M10" s="12" t="s">
        <v>51</v>
      </c>
      <c r="N10" s="12" t="s">
        <v>30</v>
      </c>
      <c r="O10" s="12" t="s">
        <v>63</v>
      </c>
    </row>
    <row r="11" spans="1:15" ht="16" x14ac:dyDescent="0.2">
      <c r="A11" s="76" t="s">
        <v>64</v>
      </c>
      <c r="C11" s="5">
        <v>3</v>
      </c>
      <c r="D11" s="5">
        <v>3</v>
      </c>
      <c r="E11" s="6">
        <f t="shared" ref="E11:E13" si="1">IF(D11&gt;C11,1,IFERROR(D11/C11,""))</f>
        <v>1</v>
      </c>
      <c r="G11" s="13"/>
      <c r="H11" s="35"/>
      <c r="I11" s="13"/>
      <c r="J11" s="13" t="s">
        <v>53</v>
      </c>
      <c r="K11" s="13"/>
      <c r="L11" s="13"/>
      <c r="M11" s="13"/>
      <c r="N11" s="13" t="s">
        <v>53</v>
      </c>
      <c r="O11" s="13" t="s">
        <v>53</v>
      </c>
    </row>
    <row r="12" spans="1:15" ht="16" x14ac:dyDescent="0.2">
      <c r="A12" s="7" t="s">
        <v>65</v>
      </c>
      <c r="C12" s="5">
        <v>6</v>
      </c>
      <c r="D12" s="5">
        <f t="shared" ref="D12" si="2">COUNTIF(G12:M12,"X")</f>
        <v>6</v>
      </c>
      <c r="E12" s="6">
        <f t="shared" si="1"/>
        <v>1</v>
      </c>
      <c r="G12" s="13" t="s">
        <v>53</v>
      </c>
      <c r="H12" s="35"/>
      <c r="I12" s="13" t="s">
        <v>53</v>
      </c>
      <c r="J12" s="13" t="s">
        <v>53</v>
      </c>
      <c r="K12" s="13" t="s">
        <v>53</v>
      </c>
      <c r="L12" s="13" t="s">
        <v>53</v>
      </c>
      <c r="M12" s="13" t="s">
        <v>53</v>
      </c>
      <c r="N12" s="35"/>
      <c r="O12" s="35"/>
    </row>
    <row r="13" spans="1:15" ht="16" x14ac:dyDescent="0.2">
      <c r="A13" s="7" t="s">
        <v>66</v>
      </c>
      <c r="C13" s="5">
        <v>4</v>
      </c>
      <c r="D13" s="5">
        <v>5</v>
      </c>
      <c r="E13" s="6">
        <f t="shared" si="1"/>
        <v>1</v>
      </c>
      <c r="G13" s="81"/>
      <c r="H13" s="35"/>
      <c r="I13" s="13" t="s">
        <v>53</v>
      </c>
      <c r="J13" s="13" t="s">
        <v>53</v>
      </c>
      <c r="K13" s="13" t="s">
        <v>53</v>
      </c>
      <c r="L13" s="13" t="s">
        <v>53</v>
      </c>
      <c r="M13" s="13" t="s">
        <v>53</v>
      </c>
      <c r="N13" s="35"/>
      <c r="O13" s="35"/>
    </row>
    <row r="14" spans="1:15" x14ac:dyDescent="0.2">
      <c r="A14" s="75" t="s">
        <v>98</v>
      </c>
      <c r="C14" s="5"/>
      <c r="D14" s="5">
        <f t="shared" ref="D14" si="3">COUNTIF(G14:M14,"X")</f>
        <v>0</v>
      </c>
      <c r="E14" s="6" t="str">
        <f t="shared" ref="E14" si="4">IF(D14&gt;C14,1,IFERROR(D14/C14,""))</f>
        <v/>
      </c>
      <c r="G14" s="13"/>
      <c r="H14" s="35"/>
      <c r="I14" s="13"/>
      <c r="J14" s="13"/>
      <c r="K14" s="13"/>
      <c r="L14" s="13"/>
      <c r="M14" s="13"/>
      <c r="N14" s="13"/>
      <c r="O14" s="13"/>
    </row>
    <row r="15" spans="1:15" x14ac:dyDescent="0.2">
      <c r="A15" t="s">
        <v>99</v>
      </c>
      <c r="C15" s="5">
        <v>3</v>
      </c>
      <c r="D15" s="5">
        <f t="shared" ref="D15:D17" si="5">COUNTIF(G15:M15,"X")</f>
        <v>2</v>
      </c>
      <c r="E15" s="6">
        <f t="shared" ref="E15:E17" si="6">IF(D15&gt;C15,1,IFERROR(D15/C15,""))</f>
        <v>0.66666666666666663</v>
      </c>
      <c r="G15" s="13" t="s">
        <v>53</v>
      </c>
      <c r="H15" s="35"/>
      <c r="I15" s="13"/>
      <c r="J15" s="13"/>
      <c r="K15" s="13"/>
      <c r="L15" s="13"/>
      <c r="M15" s="13" t="s">
        <v>53</v>
      </c>
      <c r="N15" s="13"/>
      <c r="O15" s="13"/>
    </row>
    <row r="16" spans="1:15" x14ac:dyDescent="0.2">
      <c r="A16" t="s">
        <v>100</v>
      </c>
      <c r="C16" s="5">
        <v>3</v>
      </c>
      <c r="D16" s="5">
        <f t="shared" si="5"/>
        <v>1</v>
      </c>
      <c r="E16" s="6">
        <f t="shared" si="6"/>
        <v>0.33333333333333331</v>
      </c>
      <c r="G16" s="13"/>
      <c r="H16" s="35"/>
      <c r="I16" s="13"/>
      <c r="J16" s="13"/>
      <c r="K16" s="13"/>
      <c r="L16" s="13"/>
      <c r="M16" s="13" t="s">
        <v>53</v>
      </c>
      <c r="N16" s="13" t="s">
        <v>53</v>
      </c>
      <c r="O16" s="13"/>
    </row>
    <row r="17" spans="1:15" x14ac:dyDescent="0.2">
      <c r="A17" t="s">
        <v>101</v>
      </c>
      <c r="C17" s="5">
        <v>3</v>
      </c>
      <c r="D17" s="5">
        <f t="shared" si="5"/>
        <v>0</v>
      </c>
      <c r="E17" s="6">
        <f t="shared" si="6"/>
        <v>0</v>
      </c>
      <c r="G17" s="13"/>
      <c r="H17" s="35"/>
      <c r="I17" s="13"/>
      <c r="J17" s="13"/>
      <c r="K17" s="13"/>
      <c r="L17" s="13"/>
      <c r="M17" s="13"/>
      <c r="N17" s="13"/>
      <c r="O17" s="13"/>
    </row>
    <row r="19" spans="1:15" ht="16" thickBot="1" x14ac:dyDescent="0.25">
      <c r="A19" s="80" t="s">
        <v>102</v>
      </c>
      <c r="B19" s="80"/>
      <c r="C19" s="80"/>
      <c r="D19" s="80"/>
      <c r="E19" s="80"/>
    </row>
    <row r="20" spans="1:15" ht="16" thickTop="1" x14ac:dyDescent="0.2"/>
  </sheetData>
  <conditionalFormatting sqref="E3:E7">
    <cfRule type="cellIs" dxfId="257" priority="119" operator="between">
      <formula>0</formula>
      <formula>0.64</formula>
    </cfRule>
    <cfRule type="cellIs" dxfId="256" priority="120" operator="between">
      <formula>0.64</formula>
      <formula>0.8</formula>
    </cfRule>
    <cfRule type="cellIs" dxfId="255" priority="121" operator="between">
      <formula>0.79</formula>
      <formula>0.9</formula>
    </cfRule>
    <cfRule type="cellIs" dxfId="254" priority="122" operator="between">
      <formula>0.89</formula>
      <formula>1</formula>
    </cfRule>
  </conditionalFormatting>
  <conditionalFormatting sqref="E11:E17">
    <cfRule type="cellIs" dxfId="253" priority="20" operator="between">
      <formula>0</formula>
      <formula>0.64</formula>
    </cfRule>
    <cfRule type="cellIs" dxfId="252" priority="21" operator="between">
      <formula>0.64</formula>
      <formula>0.8</formula>
    </cfRule>
    <cfRule type="cellIs" dxfId="251" priority="22" operator="between">
      <formula>0.79</formula>
      <formula>0.9</formula>
    </cfRule>
    <cfRule type="cellIs" dxfId="250" priority="23" operator="between">
      <formula>0.89</formula>
      <formula>1</formula>
    </cfRule>
  </conditionalFormatting>
  <conditionalFormatting sqref="G3:O17">
    <cfRule type="cellIs" dxfId="249" priority="1" operator="equal">
      <formula>"x"</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C3E3D-3FB3-4427-AF06-44E460821ADD}">
  <sheetPr codeName="Hoja7"/>
  <dimension ref="A1:O18"/>
  <sheetViews>
    <sheetView showGridLines="0" workbookViewId="0">
      <selection activeCell="I10" sqref="I10"/>
    </sheetView>
  </sheetViews>
  <sheetFormatPr baseColWidth="10" defaultColWidth="9.1640625" defaultRowHeight="15" x14ac:dyDescent="0.2"/>
  <cols>
    <col min="1" max="1" width="45" customWidth="1"/>
    <col min="2" max="2" width="9.83203125" customWidth="1"/>
    <col min="3" max="6" width="9.1640625" bestFit="1" customWidth="1"/>
    <col min="7" max="7" width="10.1640625" customWidth="1"/>
    <col min="8" max="8" width="0" hidden="1" customWidth="1"/>
    <col min="9" max="9" width="9.5" customWidth="1"/>
    <col min="10" max="10" width="9.1640625" bestFit="1" customWidth="1"/>
    <col min="11" max="11" width="12.5" customWidth="1"/>
  </cols>
  <sheetData>
    <row r="1" spans="1:15" ht="16" x14ac:dyDescent="0.2">
      <c r="A1" s="10" t="s">
        <v>46</v>
      </c>
      <c r="B1" s="3"/>
      <c r="C1" s="3" t="s">
        <v>47</v>
      </c>
      <c r="D1" s="3" t="s">
        <v>48</v>
      </c>
      <c r="E1" s="3" t="s">
        <v>49</v>
      </c>
      <c r="G1" s="11"/>
      <c r="H1" s="11"/>
      <c r="I1" s="11"/>
      <c r="J1" s="11"/>
      <c r="K1" s="11"/>
      <c r="L1" s="11"/>
      <c r="M1" s="11"/>
    </row>
    <row r="2" spans="1:15" ht="16" x14ac:dyDescent="0.2">
      <c r="A2" s="8"/>
      <c r="G2" s="12" t="s">
        <v>43</v>
      </c>
      <c r="H2" s="12" t="s">
        <v>44</v>
      </c>
      <c r="I2" s="12" t="s">
        <v>31</v>
      </c>
      <c r="J2" s="12" t="s">
        <v>1</v>
      </c>
      <c r="K2" s="12" t="s">
        <v>50</v>
      </c>
      <c r="L2" s="12" t="s">
        <v>3</v>
      </c>
      <c r="M2" s="12" t="s">
        <v>51</v>
      </c>
      <c r="N2" s="12" t="s">
        <v>30</v>
      </c>
      <c r="O2" s="12" t="s">
        <v>63</v>
      </c>
    </row>
    <row r="3" spans="1:15" ht="16" x14ac:dyDescent="0.2">
      <c r="A3" s="76" t="s">
        <v>103</v>
      </c>
      <c r="C3" s="5">
        <v>5</v>
      </c>
      <c r="D3" s="32">
        <v>5</v>
      </c>
      <c r="E3" s="33">
        <f>IF(D3&gt;C3,1,IFERROR(D3/C3,""))</f>
        <v>1</v>
      </c>
      <c r="G3" s="13" t="s">
        <v>53</v>
      </c>
      <c r="H3" s="13"/>
      <c r="I3" s="13" t="s">
        <v>53</v>
      </c>
      <c r="J3" s="13" t="s">
        <v>53</v>
      </c>
      <c r="K3" s="13" t="s">
        <v>53</v>
      </c>
      <c r="L3" s="13" t="s">
        <v>53</v>
      </c>
      <c r="M3" s="35"/>
      <c r="N3" s="35"/>
      <c r="O3" s="35"/>
    </row>
    <row r="4" spans="1:15" ht="16" x14ac:dyDescent="0.2">
      <c r="A4" s="76" t="s">
        <v>104</v>
      </c>
      <c r="C4" s="5">
        <v>5</v>
      </c>
      <c r="D4" s="32" t="s">
        <v>105</v>
      </c>
      <c r="E4" s="33">
        <f>IF(D4&gt;C4,1,IFERROR(D4/C4,""))</f>
        <v>1</v>
      </c>
      <c r="G4" s="74"/>
      <c r="H4" s="13"/>
      <c r="I4" s="13" t="s">
        <v>53</v>
      </c>
      <c r="J4" s="74"/>
      <c r="K4" s="74"/>
      <c r="L4" s="13" t="s">
        <v>53</v>
      </c>
      <c r="M4" s="35"/>
      <c r="N4" s="35"/>
      <c r="O4" s="35"/>
    </row>
    <row r="5" spans="1:15" ht="16" x14ac:dyDescent="0.2">
      <c r="A5" s="76" t="s">
        <v>95</v>
      </c>
      <c r="C5" s="5">
        <v>6</v>
      </c>
      <c r="D5" s="32">
        <v>6</v>
      </c>
      <c r="E5" s="33">
        <f>IF(D5&gt;C5,1,IFERROR(D5/C5,""))</f>
        <v>1</v>
      </c>
      <c r="G5" s="13" t="s">
        <v>53</v>
      </c>
      <c r="H5" s="35"/>
      <c r="I5" s="13" t="s">
        <v>53</v>
      </c>
      <c r="J5" s="13" t="s">
        <v>53</v>
      </c>
      <c r="K5" s="13" t="s">
        <v>53</v>
      </c>
      <c r="L5" s="13" t="s">
        <v>53</v>
      </c>
      <c r="M5" s="13" t="s">
        <v>53</v>
      </c>
      <c r="N5" s="35"/>
      <c r="O5" s="35"/>
    </row>
    <row r="6" spans="1:15" ht="16" x14ac:dyDescent="0.2">
      <c r="A6" s="76" t="s">
        <v>96</v>
      </c>
      <c r="C6" s="5">
        <v>5</v>
      </c>
      <c r="D6" s="32">
        <v>5</v>
      </c>
      <c r="E6" s="33">
        <f>IF(D6&gt;C6,1,IFERROR(D6/C6,""))</f>
        <v>1</v>
      </c>
      <c r="G6" s="13" t="s">
        <v>53</v>
      </c>
      <c r="H6" s="35"/>
      <c r="I6" s="13" t="s">
        <v>53</v>
      </c>
      <c r="J6" s="35"/>
      <c r="K6" s="13" t="s">
        <v>53</v>
      </c>
      <c r="L6" s="13" t="s">
        <v>53</v>
      </c>
      <c r="M6" s="13" t="s">
        <v>53</v>
      </c>
      <c r="N6" s="35"/>
      <c r="O6" s="35"/>
    </row>
    <row r="7" spans="1:15" ht="16" x14ac:dyDescent="0.2">
      <c r="A7" s="76" t="s">
        <v>106</v>
      </c>
      <c r="C7" s="5">
        <v>6</v>
      </c>
      <c r="D7" s="32" t="s">
        <v>107</v>
      </c>
      <c r="E7" s="33">
        <f>IF(D7&gt;C7,1,IFERROR(D7/C7,""))</f>
        <v>1</v>
      </c>
      <c r="G7" s="13" t="s">
        <v>53</v>
      </c>
      <c r="H7" s="35"/>
      <c r="I7" s="13" t="s">
        <v>53</v>
      </c>
      <c r="J7" s="35"/>
      <c r="K7" s="13" t="s">
        <v>53</v>
      </c>
      <c r="L7" s="74"/>
      <c r="M7" s="13" t="s">
        <v>53</v>
      </c>
      <c r="N7" s="35"/>
      <c r="O7" s="35"/>
    </row>
    <row r="8" spans="1:15" ht="16" x14ac:dyDescent="0.2">
      <c r="A8" s="77"/>
      <c r="G8" s="108"/>
      <c r="H8" s="11"/>
      <c r="I8" s="11"/>
      <c r="J8" s="11"/>
      <c r="K8" s="11"/>
      <c r="L8" s="11"/>
      <c r="M8" s="11"/>
    </row>
    <row r="9" spans="1:15" ht="16" x14ac:dyDescent="0.2">
      <c r="A9" s="78" t="s">
        <v>62</v>
      </c>
      <c r="B9" s="3"/>
      <c r="C9" s="3" t="s">
        <v>47</v>
      </c>
      <c r="D9" s="3" t="s">
        <v>48</v>
      </c>
      <c r="E9" s="3" t="s">
        <v>49</v>
      </c>
      <c r="G9" s="11"/>
      <c r="H9" s="11"/>
      <c r="I9" s="11"/>
      <c r="J9" s="11"/>
      <c r="K9" s="11"/>
      <c r="L9" s="11"/>
      <c r="M9" s="11"/>
    </row>
    <row r="10" spans="1:15" ht="16" x14ac:dyDescent="0.2">
      <c r="A10" s="79"/>
      <c r="G10" s="12" t="s">
        <v>43</v>
      </c>
      <c r="H10" s="12" t="s">
        <v>44</v>
      </c>
      <c r="I10" s="12" t="s">
        <v>31</v>
      </c>
      <c r="J10" s="12" t="s">
        <v>1</v>
      </c>
      <c r="K10" s="12" t="s">
        <v>50</v>
      </c>
      <c r="L10" s="12" t="s">
        <v>3</v>
      </c>
      <c r="M10" s="12" t="s">
        <v>51</v>
      </c>
      <c r="N10" s="12" t="s">
        <v>30</v>
      </c>
      <c r="O10" s="12" t="s">
        <v>63</v>
      </c>
    </row>
    <row r="11" spans="1:15" ht="16" x14ac:dyDescent="0.2">
      <c r="A11" s="76" t="s">
        <v>108</v>
      </c>
      <c r="C11" s="5">
        <v>3</v>
      </c>
      <c r="D11" s="5">
        <v>3</v>
      </c>
      <c r="E11" s="6">
        <f t="shared" ref="E11:E16" si="0">IF(D11&gt;C11,1,IFERROR(D11/C11,""))</f>
        <v>1</v>
      </c>
      <c r="G11" s="13"/>
      <c r="H11" s="35"/>
      <c r="I11" s="13"/>
      <c r="J11" s="13" t="s">
        <v>53</v>
      </c>
      <c r="K11" s="13" t="s">
        <v>53</v>
      </c>
      <c r="L11" s="13"/>
      <c r="M11" s="13" t="s">
        <v>53</v>
      </c>
      <c r="N11" s="13"/>
      <c r="O11" s="13"/>
    </row>
    <row r="12" spans="1:15" ht="16" x14ac:dyDescent="0.2">
      <c r="A12" s="7" t="s">
        <v>109</v>
      </c>
      <c r="C12" s="5">
        <v>4</v>
      </c>
      <c r="D12" s="5">
        <v>4</v>
      </c>
      <c r="E12" s="6">
        <f t="shared" si="0"/>
        <v>1</v>
      </c>
      <c r="G12" s="13"/>
      <c r="H12" s="35"/>
      <c r="I12" s="13"/>
      <c r="J12" s="13" t="s">
        <v>53</v>
      </c>
      <c r="K12" s="13" t="s">
        <v>53</v>
      </c>
      <c r="L12" s="13" t="s">
        <v>53</v>
      </c>
      <c r="M12" s="13" t="s">
        <v>53</v>
      </c>
      <c r="N12" s="35"/>
      <c r="O12" s="35"/>
    </row>
    <row r="13" spans="1:15" ht="16" x14ac:dyDescent="0.2">
      <c r="A13" s="7" t="s">
        <v>98</v>
      </c>
      <c r="C13" s="5"/>
      <c r="D13" s="5">
        <f>COUNTIF(G13:M13,"X")</f>
        <v>0</v>
      </c>
      <c r="E13" s="6" t="str">
        <f t="shared" si="0"/>
        <v/>
      </c>
      <c r="G13" s="13"/>
      <c r="H13" s="35"/>
      <c r="I13" s="13"/>
      <c r="J13" s="13"/>
      <c r="K13" s="13"/>
      <c r="L13" s="13"/>
      <c r="M13" s="13"/>
      <c r="N13" s="13"/>
      <c r="O13" s="13"/>
    </row>
    <row r="14" spans="1:15" ht="16" x14ac:dyDescent="0.2">
      <c r="A14" s="7" t="s">
        <v>99</v>
      </c>
      <c r="C14" s="5">
        <v>1</v>
      </c>
      <c r="D14" s="5">
        <f>COUNTIF(G14:M14,"X")</f>
        <v>0</v>
      </c>
      <c r="E14" s="6">
        <f t="shared" si="0"/>
        <v>0</v>
      </c>
      <c r="G14" s="13"/>
      <c r="H14" s="35"/>
      <c r="I14" s="13"/>
      <c r="J14" s="13"/>
      <c r="K14" s="13"/>
      <c r="L14" s="13"/>
      <c r="M14" s="13"/>
      <c r="N14" s="13"/>
      <c r="O14" s="13"/>
    </row>
    <row r="15" spans="1:15" ht="16" x14ac:dyDescent="0.2">
      <c r="A15" s="7" t="s">
        <v>100</v>
      </c>
      <c r="C15" s="5">
        <v>1</v>
      </c>
      <c r="D15" s="5">
        <v>1</v>
      </c>
      <c r="E15" s="6">
        <f t="shared" si="0"/>
        <v>1</v>
      </c>
      <c r="G15" s="13"/>
      <c r="H15" s="35"/>
      <c r="I15" s="13"/>
      <c r="J15" s="13"/>
      <c r="K15" s="13"/>
      <c r="L15" s="13"/>
      <c r="M15" s="13"/>
      <c r="N15" s="13" t="s">
        <v>110</v>
      </c>
      <c r="O15" s="13"/>
    </row>
    <row r="16" spans="1:15" ht="16" x14ac:dyDescent="0.2">
      <c r="A16" s="7" t="s">
        <v>101</v>
      </c>
      <c r="C16" s="5"/>
      <c r="D16" s="5">
        <f>COUNTIF(G16:M16,"X")</f>
        <v>0</v>
      </c>
      <c r="E16" s="6" t="str">
        <f t="shared" si="0"/>
        <v/>
      </c>
      <c r="G16" s="13"/>
      <c r="H16" s="35"/>
      <c r="I16" s="13"/>
      <c r="J16" s="13"/>
      <c r="K16" s="13"/>
      <c r="L16" s="13"/>
      <c r="M16" s="13"/>
      <c r="N16" s="13"/>
      <c r="O16" s="13"/>
    </row>
    <row r="18" spans="1:5" x14ac:dyDescent="0.2">
      <c r="A18" s="80" t="s">
        <v>102</v>
      </c>
      <c r="B18" s="80"/>
      <c r="C18" s="80"/>
      <c r="D18" s="80"/>
      <c r="E18" s="80"/>
    </row>
  </sheetData>
  <conditionalFormatting sqref="E3:E7">
    <cfRule type="cellIs" dxfId="248" priority="97" operator="between">
      <formula>0</formula>
      <formula>0.64</formula>
    </cfRule>
    <cfRule type="cellIs" dxfId="247" priority="98" operator="between">
      <formula>0.64</formula>
      <formula>0.8</formula>
    </cfRule>
    <cfRule type="cellIs" dxfId="246" priority="99" operator="between">
      <formula>0.79</formula>
      <formula>0.9</formula>
    </cfRule>
    <cfRule type="cellIs" dxfId="245" priority="100" operator="between">
      <formula>0.89</formula>
      <formula>1</formula>
    </cfRule>
  </conditionalFormatting>
  <conditionalFormatting sqref="E11:E16">
    <cfRule type="cellIs" dxfId="244" priority="36" operator="between">
      <formula>0</formula>
      <formula>0.64</formula>
    </cfRule>
    <cfRule type="cellIs" dxfId="243" priority="37" operator="between">
      <formula>0.64</formula>
      <formula>0.8</formula>
    </cfRule>
    <cfRule type="cellIs" dxfId="242" priority="38" operator="between">
      <formula>0.79</formula>
      <formula>0.9</formula>
    </cfRule>
    <cfRule type="cellIs" dxfId="241" priority="39" operator="between">
      <formula>0.89</formula>
      <formula>1</formula>
    </cfRule>
  </conditionalFormatting>
  <conditionalFormatting sqref="G11:H16">
    <cfRule type="cellIs" dxfId="240" priority="8" operator="equal">
      <formula>"x"</formula>
    </cfRule>
  </conditionalFormatting>
  <conditionalFormatting sqref="G3:O7">
    <cfRule type="cellIs" dxfId="239" priority="6" operator="equal">
      <formula>"x"</formula>
    </cfRule>
  </conditionalFormatting>
  <conditionalFormatting sqref="I12:J12 L12:M12 J14:M16">
    <cfRule type="cellIs" dxfId="238" priority="65" operator="equal">
      <formula>"x"</formula>
    </cfRule>
  </conditionalFormatting>
  <conditionalFormatting sqref="I11:O11">
    <cfRule type="cellIs" dxfId="237" priority="96" operator="equal">
      <formula>"x"</formula>
    </cfRule>
  </conditionalFormatting>
  <conditionalFormatting sqref="I13:O16">
    <cfRule type="cellIs" dxfId="236" priority="33" operator="equal">
      <formula>"x"</formula>
    </cfRule>
  </conditionalFormatting>
  <conditionalFormatting sqref="K12:L13">
    <cfRule type="cellIs" dxfId="235" priority="60" operator="equal">
      <formula>"x"</formula>
    </cfRule>
  </conditionalFormatting>
  <conditionalFormatting sqref="N12:O15">
    <cfRule type="cellIs" dxfId="234" priority="63" operator="equal">
      <formula>"x"</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B3C77-ADAB-4051-B2C3-E005641956ED}">
  <sheetPr codeName="Hoja9"/>
  <dimension ref="A2:P24"/>
  <sheetViews>
    <sheetView showGridLines="0" topLeftCell="A4" workbookViewId="0">
      <selection activeCell="D4" sqref="D4"/>
    </sheetView>
  </sheetViews>
  <sheetFormatPr baseColWidth="10" defaultColWidth="11.5" defaultRowHeight="15" outlineLevelCol="1" x14ac:dyDescent="0.2"/>
  <cols>
    <col min="1" max="1" width="12" customWidth="1"/>
    <col min="2" max="2" width="25.5" customWidth="1"/>
    <col min="3" max="3" width="9.5" customWidth="1"/>
    <col min="4" max="4" width="17.83203125" customWidth="1"/>
    <col min="5" max="5" width="20.5" customWidth="1"/>
    <col min="6" max="6" width="32.5" customWidth="1"/>
    <col min="10" max="10" width="12.5" customWidth="1"/>
    <col min="11" max="15" width="6.1640625" style="44" customWidth="1" outlineLevel="1"/>
  </cols>
  <sheetData>
    <row r="2" spans="1:16" x14ac:dyDescent="0.2">
      <c r="G2">
        <f>COUNTIF(G4:G15,"x")</f>
        <v>10</v>
      </c>
      <c r="H2">
        <f>COUNTIF(H4:H15,"x")</f>
        <v>11</v>
      </c>
      <c r="I2">
        <f>COUNTIF(I4:I15,"x")</f>
        <v>6</v>
      </c>
      <c r="P2">
        <v>1</v>
      </c>
    </row>
    <row r="3" spans="1:16" x14ac:dyDescent="0.2">
      <c r="B3" s="57" t="s">
        <v>111</v>
      </c>
      <c r="C3" s="57" t="s">
        <v>112</v>
      </c>
      <c r="D3" s="57" t="s">
        <v>113</v>
      </c>
      <c r="E3" s="57" t="s">
        <v>114</v>
      </c>
      <c r="F3" s="57" t="s">
        <v>115</v>
      </c>
      <c r="G3" s="57" t="s">
        <v>116</v>
      </c>
      <c r="H3" s="57" t="s">
        <v>117</v>
      </c>
      <c r="I3" s="57" t="s">
        <v>34</v>
      </c>
      <c r="J3" s="57" t="s">
        <v>100</v>
      </c>
      <c r="K3" s="58" t="s">
        <v>118</v>
      </c>
      <c r="L3" s="58" t="s">
        <v>119</v>
      </c>
      <c r="M3" s="58" t="s">
        <v>120</v>
      </c>
      <c r="N3" s="58" t="s">
        <v>121</v>
      </c>
      <c r="O3" s="58" t="s">
        <v>122</v>
      </c>
      <c r="P3" s="57" t="s">
        <v>123</v>
      </c>
    </row>
    <row r="4" spans="1:16" x14ac:dyDescent="0.2">
      <c r="A4" s="145" t="s">
        <v>0</v>
      </c>
      <c r="B4" s="60" t="s">
        <v>124</v>
      </c>
      <c r="C4" s="60"/>
      <c r="D4" s="60" t="s">
        <v>125</v>
      </c>
      <c r="E4" s="60" t="s">
        <v>126</v>
      </c>
      <c r="F4" s="60" t="s">
        <v>127</v>
      </c>
      <c r="G4" s="61" t="s">
        <v>53</v>
      </c>
      <c r="H4" s="61" t="s">
        <v>53</v>
      </c>
      <c r="I4" s="61" t="s">
        <v>53</v>
      </c>
      <c r="J4" s="59">
        <f>COUNTIF(K4:O4,"*")</f>
        <v>2</v>
      </c>
      <c r="K4" s="61" t="s">
        <v>53</v>
      </c>
      <c r="L4" s="61" t="s">
        <v>53</v>
      </c>
      <c r="M4" s="61"/>
      <c r="N4" s="61"/>
      <c r="O4" s="61"/>
      <c r="P4" s="61" t="s">
        <v>53</v>
      </c>
    </row>
    <row r="5" spans="1:16" x14ac:dyDescent="0.2">
      <c r="A5" s="145"/>
      <c r="B5" s="60" t="s">
        <v>128</v>
      </c>
      <c r="C5" s="60"/>
      <c r="D5" s="60" t="s">
        <v>129</v>
      </c>
      <c r="E5" s="60" t="s">
        <v>126</v>
      </c>
      <c r="F5" s="60" t="s">
        <v>127</v>
      </c>
      <c r="G5" s="61" t="s">
        <v>53</v>
      </c>
      <c r="H5" s="61" t="s">
        <v>53</v>
      </c>
      <c r="I5" s="61" t="s">
        <v>53</v>
      </c>
      <c r="J5" s="59">
        <f t="shared" ref="J5:J13" si="0">COUNTIF(K5:O5,"*")</f>
        <v>0</v>
      </c>
      <c r="K5" s="61"/>
      <c r="L5" s="61"/>
      <c r="M5" s="61"/>
      <c r="N5" s="61"/>
      <c r="O5" s="61"/>
      <c r="P5" s="61"/>
    </row>
    <row r="6" spans="1:16" x14ac:dyDescent="0.2">
      <c r="A6" s="145"/>
      <c r="B6" s="60" t="s">
        <v>130</v>
      </c>
      <c r="C6" s="60" t="s">
        <v>53</v>
      </c>
      <c r="D6" s="60" t="s">
        <v>125</v>
      </c>
      <c r="E6" s="60" t="s">
        <v>131</v>
      </c>
      <c r="F6" s="60" t="s">
        <v>132</v>
      </c>
      <c r="G6" s="61"/>
      <c r="H6" s="61" t="s">
        <v>53</v>
      </c>
      <c r="I6" s="61" t="s">
        <v>53</v>
      </c>
      <c r="J6" s="59">
        <f t="shared" si="0"/>
        <v>0</v>
      </c>
      <c r="K6" s="61"/>
      <c r="L6" s="61"/>
      <c r="M6" s="61"/>
      <c r="N6" s="61"/>
      <c r="O6" s="61"/>
      <c r="P6" s="61"/>
    </row>
    <row r="7" spans="1:16" x14ac:dyDescent="0.2">
      <c r="A7" s="141" t="s">
        <v>43</v>
      </c>
      <c r="B7" s="62" t="s">
        <v>133</v>
      </c>
      <c r="C7" s="62"/>
      <c r="D7" s="62" t="s">
        <v>134</v>
      </c>
      <c r="E7" s="62" t="s">
        <v>135</v>
      </c>
      <c r="F7" s="62" t="s">
        <v>136</v>
      </c>
      <c r="G7" s="52" t="s">
        <v>53</v>
      </c>
      <c r="H7" s="52" t="s">
        <v>53</v>
      </c>
      <c r="I7" s="52" t="s">
        <v>53</v>
      </c>
      <c r="J7" s="1">
        <f t="shared" si="0"/>
        <v>3</v>
      </c>
      <c r="K7" s="52" t="s">
        <v>53</v>
      </c>
      <c r="L7" s="52" t="s">
        <v>53</v>
      </c>
      <c r="M7" s="52" t="s">
        <v>53</v>
      </c>
      <c r="N7" s="52"/>
      <c r="O7" s="52"/>
      <c r="P7" s="52" t="s">
        <v>53</v>
      </c>
    </row>
    <row r="8" spans="1:16" x14ac:dyDescent="0.2">
      <c r="A8" s="141"/>
      <c r="B8" s="62" t="s">
        <v>137</v>
      </c>
      <c r="C8" s="62"/>
      <c r="D8" s="62" t="s">
        <v>138</v>
      </c>
      <c r="E8" s="62" t="s">
        <v>135</v>
      </c>
      <c r="F8" s="62" t="s">
        <v>139</v>
      </c>
      <c r="G8" s="52" t="s">
        <v>53</v>
      </c>
      <c r="H8" s="52" t="s">
        <v>53</v>
      </c>
      <c r="I8" s="52"/>
      <c r="J8" s="1">
        <f t="shared" si="0"/>
        <v>0</v>
      </c>
      <c r="K8" s="52"/>
      <c r="L8" s="52"/>
      <c r="M8" s="52"/>
      <c r="N8" s="52"/>
      <c r="O8" s="52"/>
      <c r="P8" s="43"/>
    </row>
    <row r="9" spans="1:16" x14ac:dyDescent="0.2">
      <c r="A9" s="141" t="s">
        <v>25</v>
      </c>
      <c r="B9" s="60" t="s">
        <v>140</v>
      </c>
      <c r="C9" s="60"/>
      <c r="D9" s="60" t="s">
        <v>76</v>
      </c>
      <c r="E9" s="60" t="s">
        <v>126</v>
      </c>
      <c r="F9" s="63" t="s">
        <v>77</v>
      </c>
      <c r="G9" s="61" t="s">
        <v>53</v>
      </c>
      <c r="H9" s="61" t="s">
        <v>53</v>
      </c>
      <c r="I9" s="61"/>
      <c r="J9" s="59">
        <f t="shared" si="0"/>
        <v>0</v>
      </c>
      <c r="K9" s="61"/>
      <c r="L9" s="61"/>
      <c r="M9" s="61"/>
      <c r="N9" s="61"/>
      <c r="O9" s="61"/>
      <c r="P9" s="61"/>
    </row>
    <row r="10" spans="1:16" x14ac:dyDescent="0.2">
      <c r="A10" s="141"/>
      <c r="B10" s="60" t="s">
        <v>141</v>
      </c>
      <c r="C10" s="60"/>
      <c r="D10" s="60" t="s">
        <v>69</v>
      </c>
      <c r="E10" s="60" t="s">
        <v>126</v>
      </c>
      <c r="F10" s="60" t="s">
        <v>132</v>
      </c>
      <c r="G10" s="61" t="s">
        <v>53</v>
      </c>
      <c r="H10" s="61" t="s">
        <v>53</v>
      </c>
      <c r="I10" s="61" t="s">
        <v>53</v>
      </c>
      <c r="J10" s="59">
        <f t="shared" si="0"/>
        <v>0</v>
      </c>
      <c r="K10" s="61"/>
      <c r="L10" s="61"/>
      <c r="M10" s="61"/>
      <c r="N10" s="61"/>
      <c r="O10" s="61"/>
      <c r="P10" s="61"/>
    </row>
    <row r="11" spans="1:16" x14ac:dyDescent="0.2">
      <c r="A11" s="141"/>
      <c r="B11" s="60" t="s">
        <v>142</v>
      </c>
      <c r="C11" s="60"/>
      <c r="D11" s="60" t="s">
        <v>69</v>
      </c>
      <c r="E11" s="60" t="s">
        <v>143</v>
      </c>
      <c r="F11" s="60" t="s">
        <v>132</v>
      </c>
      <c r="G11" s="61"/>
      <c r="H11" s="61" t="s">
        <v>53</v>
      </c>
      <c r="I11" s="61" t="s">
        <v>53</v>
      </c>
      <c r="J11" s="59">
        <f t="shared" si="0"/>
        <v>0</v>
      </c>
      <c r="K11" s="61"/>
      <c r="L11" s="61"/>
      <c r="M11" s="61"/>
      <c r="N11" s="61"/>
      <c r="O11" s="61"/>
      <c r="P11" s="61"/>
    </row>
    <row r="12" spans="1:16" x14ac:dyDescent="0.2">
      <c r="A12" s="141"/>
      <c r="B12" s="60" t="s">
        <v>140</v>
      </c>
      <c r="C12" s="60"/>
      <c r="D12" s="60" t="s">
        <v>144</v>
      </c>
      <c r="E12" s="60"/>
      <c r="F12" s="66" t="s">
        <v>145</v>
      </c>
      <c r="G12" s="61" t="s">
        <v>53</v>
      </c>
      <c r="H12" s="61"/>
      <c r="I12" s="61"/>
      <c r="J12" s="59">
        <f t="shared" si="0"/>
        <v>0</v>
      </c>
      <c r="K12" s="61"/>
      <c r="L12" s="61"/>
      <c r="M12" s="61"/>
      <c r="N12" s="61"/>
      <c r="O12" s="61"/>
      <c r="P12" s="61"/>
    </row>
    <row r="13" spans="1:16" x14ac:dyDescent="0.2">
      <c r="A13" s="43" t="s">
        <v>30</v>
      </c>
      <c r="B13" s="62" t="s">
        <v>146</v>
      </c>
      <c r="C13" s="62"/>
      <c r="D13" s="62" t="s">
        <v>75</v>
      </c>
      <c r="E13" s="62" t="s">
        <v>135</v>
      </c>
      <c r="F13" s="63" t="s">
        <v>77</v>
      </c>
      <c r="G13" s="52" t="s">
        <v>53</v>
      </c>
      <c r="H13" s="52" t="s">
        <v>53</v>
      </c>
      <c r="I13" s="52"/>
      <c r="J13" s="1">
        <f t="shared" si="0"/>
        <v>0</v>
      </c>
      <c r="K13" s="52"/>
      <c r="L13" s="52"/>
      <c r="M13" s="52"/>
      <c r="N13" s="52"/>
      <c r="O13" s="52"/>
      <c r="P13" s="43"/>
    </row>
    <row r="14" spans="1:16" x14ac:dyDescent="0.2">
      <c r="A14" s="141" t="s">
        <v>31</v>
      </c>
      <c r="B14" s="65" t="s">
        <v>147</v>
      </c>
      <c r="C14" s="65"/>
      <c r="D14" s="62" t="s">
        <v>70</v>
      </c>
      <c r="E14" s="62" t="s">
        <v>143</v>
      </c>
      <c r="F14" s="63" t="s">
        <v>77</v>
      </c>
      <c r="G14" s="52" t="s">
        <v>53</v>
      </c>
      <c r="H14" s="52" t="s">
        <v>53</v>
      </c>
      <c r="I14" s="52"/>
      <c r="J14" s="1"/>
      <c r="K14" s="52"/>
      <c r="L14" s="52"/>
      <c r="M14" s="52"/>
      <c r="N14" s="52"/>
      <c r="O14" s="52"/>
      <c r="P14" s="43"/>
    </row>
    <row r="15" spans="1:16" x14ac:dyDescent="0.2">
      <c r="A15" s="141"/>
      <c r="B15" s="65" t="s">
        <v>148</v>
      </c>
      <c r="C15" s="65"/>
      <c r="D15" s="62" t="s">
        <v>71</v>
      </c>
      <c r="E15" s="62" t="s">
        <v>143</v>
      </c>
      <c r="F15" s="63" t="s">
        <v>77</v>
      </c>
      <c r="G15" s="52" t="s">
        <v>53</v>
      </c>
      <c r="H15" s="52" t="s">
        <v>53</v>
      </c>
      <c r="I15" s="52"/>
      <c r="J15" s="1"/>
      <c r="K15" s="52"/>
      <c r="L15" s="52"/>
      <c r="M15" s="52"/>
      <c r="N15" s="52"/>
      <c r="O15" s="52"/>
      <c r="P15" s="43"/>
    </row>
    <row r="22" spans="1:10" x14ac:dyDescent="0.2">
      <c r="A22" s="142" t="s">
        <v>12</v>
      </c>
      <c r="B22" s="60" t="s">
        <v>19</v>
      </c>
      <c r="C22" s="60"/>
      <c r="D22" s="60" t="s">
        <v>63</v>
      </c>
      <c r="E22" s="60" t="s">
        <v>126</v>
      </c>
      <c r="F22" s="64" t="s">
        <v>149</v>
      </c>
      <c r="G22" s="52"/>
      <c r="H22" s="52"/>
      <c r="I22" s="52" t="s">
        <v>53</v>
      </c>
      <c r="J22" s="43"/>
    </row>
    <row r="23" spans="1:10" x14ac:dyDescent="0.2">
      <c r="A23" s="143"/>
      <c r="B23" s="60" t="s">
        <v>150</v>
      </c>
      <c r="C23" s="60"/>
      <c r="D23" s="60" t="s">
        <v>63</v>
      </c>
      <c r="E23" s="60" t="s">
        <v>126</v>
      </c>
      <c r="F23" s="64" t="s">
        <v>149</v>
      </c>
      <c r="G23" s="52"/>
      <c r="H23" s="52"/>
      <c r="I23" s="52" t="s">
        <v>53</v>
      </c>
      <c r="J23" s="43"/>
    </row>
    <row r="24" spans="1:10" x14ac:dyDescent="0.2">
      <c r="A24" s="143"/>
      <c r="B24" s="60" t="s">
        <v>44</v>
      </c>
      <c r="C24" s="60"/>
      <c r="D24" s="60" t="s">
        <v>63</v>
      </c>
      <c r="E24" s="60" t="s">
        <v>126</v>
      </c>
      <c r="F24" s="64" t="s">
        <v>149</v>
      </c>
      <c r="G24" s="52"/>
      <c r="H24" s="52"/>
      <c r="I24" s="52" t="s">
        <v>53</v>
      </c>
      <c r="J24" s="43"/>
    </row>
  </sheetData>
  <mergeCells count="5">
    <mergeCell ref="A4:A6"/>
    <mergeCell ref="A7:A8"/>
    <mergeCell ref="A9:A12"/>
    <mergeCell ref="A22:A24"/>
    <mergeCell ref="A14:A15"/>
  </mergeCells>
  <conditionalFormatting sqref="I4:I15 I22:I24">
    <cfRule type="cellIs" dxfId="233" priority="1" operator="equal">
      <formula>"x"</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6D4F-F1B7-4354-AF6E-91080BB8A60B}">
  <sheetPr codeName="Hoja10"/>
  <dimension ref="A1:V36"/>
  <sheetViews>
    <sheetView showGridLines="0" workbookViewId="0">
      <pane ySplit="1" topLeftCell="A2" activePane="bottomLeft" state="frozen"/>
      <selection pane="bottomLeft" activeCell="B9" sqref="B9"/>
    </sheetView>
  </sheetViews>
  <sheetFormatPr baseColWidth="10" defaultColWidth="11.5" defaultRowHeight="15" outlineLevelCol="1" x14ac:dyDescent="0.2"/>
  <cols>
    <col min="1" max="1" width="20.5" style="17" customWidth="1"/>
    <col min="2" max="2" width="36.5" style="17" customWidth="1"/>
    <col min="3" max="3" width="36.5" style="17" customWidth="1" outlineLevel="1"/>
    <col min="4" max="4" width="29.5" style="17" customWidth="1"/>
    <col min="5" max="5" width="36.5" style="17" hidden="1" customWidth="1" outlineLevel="1"/>
    <col min="6" max="6" width="50.5" style="17" hidden="1" customWidth="1" outlineLevel="1"/>
    <col min="7" max="7" width="28.1640625" style="17" hidden="1" customWidth="1" outlineLevel="1"/>
    <col min="8" max="8" width="36.5" style="17" hidden="1" customWidth="1" outlineLevel="1"/>
    <col min="9" max="9" width="32.5" style="17" customWidth="1" collapsed="1"/>
    <col min="10" max="10" width="35.5" style="17" hidden="1" customWidth="1" outlineLevel="1"/>
    <col min="11" max="13" width="35.5" hidden="1" customWidth="1" outlineLevel="1"/>
    <col min="14" max="14" width="29.5" customWidth="1" collapsed="1"/>
    <col min="15" max="18" width="29.5" hidden="1" customWidth="1" outlineLevel="1"/>
    <col min="19" max="19" width="29.5" customWidth="1" collapsed="1"/>
    <col min="20" max="22" width="29.5" customWidth="1"/>
  </cols>
  <sheetData>
    <row r="1" spans="1:22" ht="24.5" customHeight="1" x14ac:dyDescent="0.2">
      <c r="A1" s="19"/>
      <c r="B1" s="18" t="s">
        <v>151</v>
      </c>
      <c r="C1" s="18" t="s">
        <v>152</v>
      </c>
      <c r="D1" s="18" t="s">
        <v>153</v>
      </c>
      <c r="E1" s="18" t="s">
        <v>154</v>
      </c>
      <c r="F1" s="18" t="s">
        <v>155</v>
      </c>
      <c r="G1" s="18" t="s">
        <v>156</v>
      </c>
      <c r="H1" s="18" t="s">
        <v>157</v>
      </c>
      <c r="I1" s="18" t="s">
        <v>158</v>
      </c>
      <c r="J1" s="18" t="s">
        <v>159</v>
      </c>
      <c r="K1" s="18" t="s">
        <v>160</v>
      </c>
      <c r="L1" s="18" t="s">
        <v>161</v>
      </c>
      <c r="M1" s="18" t="s">
        <v>162</v>
      </c>
      <c r="N1" s="18" t="s">
        <v>163</v>
      </c>
      <c r="O1" s="18" t="s">
        <v>164</v>
      </c>
      <c r="P1" s="18" t="s">
        <v>165</v>
      </c>
      <c r="Q1" s="18" t="s">
        <v>166</v>
      </c>
      <c r="R1" s="18" t="s">
        <v>167</v>
      </c>
      <c r="S1" s="18" t="s">
        <v>168</v>
      </c>
      <c r="T1" s="18" t="s">
        <v>169</v>
      </c>
      <c r="U1" s="18" t="s">
        <v>170</v>
      </c>
      <c r="V1" s="18" t="s">
        <v>171</v>
      </c>
    </row>
    <row r="2" spans="1:22" ht="58" customHeight="1" x14ac:dyDescent="0.2">
      <c r="A2" s="161" t="s">
        <v>172</v>
      </c>
      <c r="B2" s="20" t="s">
        <v>173</v>
      </c>
      <c r="C2" s="155" t="s">
        <v>174</v>
      </c>
      <c r="D2" s="168" t="s">
        <v>175</v>
      </c>
      <c r="E2" s="20" t="s">
        <v>176</v>
      </c>
      <c r="F2" s="155" t="s">
        <v>177</v>
      </c>
      <c r="G2" s="155" t="s">
        <v>178</v>
      </c>
      <c r="H2" s="161" t="s">
        <v>179</v>
      </c>
      <c r="I2" s="168" t="s">
        <v>180</v>
      </c>
      <c r="J2" s="155" t="s">
        <v>177</v>
      </c>
      <c r="K2" s="155" t="s">
        <v>181</v>
      </c>
      <c r="L2" s="161" t="s">
        <v>182</v>
      </c>
      <c r="M2" s="161" t="s">
        <v>183</v>
      </c>
      <c r="N2" s="168" t="s">
        <v>184</v>
      </c>
      <c r="O2" s="155" t="s">
        <v>185</v>
      </c>
      <c r="P2" s="155" t="s">
        <v>186</v>
      </c>
      <c r="Q2" s="155" t="s">
        <v>187</v>
      </c>
      <c r="R2" s="155" t="s">
        <v>188</v>
      </c>
      <c r="S2" s="146" t="s">
        <v>189</v>
      </c>
      <c r="T2" s="155" t="s">
        <v>190</v>
      </c>
      <c r="U2" s="155" t="s">
        <v>191</v>
      </c>
      <c r="V2" s="155" t="s">
        <v>192</v>
      </c>
    </row>
    <row r="3" spans="1:22" ht="16" customHeight="1" x14ac:dyDescent="0.2">
      <c r="A3" s="162"/>
      <c r="B3" s="21"/>
      <c r="C3" s="156"/>
      <c r="D3" s="169"/>
      <c r="E3" s="21" t="s">
        <v>193</v>
      </c>
      <c r="F3" s="156"/>
      <c r="G3" s="156"/>
      <c r="H3" s="162"/>
      <c r="I3" s="169"/>
      <c r="J3" s="156"/>
      <c r="K3" s="156"/>
      <c r="L3" s="162"/>
      <c r="M3" s="162"/>
      <c r="N3" s="169"/>
      <c r="O3" s="156"/>
      <c r="P3" s="156"/>
      <c r="Q3" s="156"/>
      <c r="R3" s="156"/>
      <c r="S3" s="147"/>
      <c r="T3" s="156"/>
      <c r="U3" s="156"/>
      <c r="V3" s="156"/>
    </row>
    <row r="4" spans="1:22" ht="48" customHeight="1" x14ac:dyDescent="0.2">
      <c r="A4" s="162"/>
      <c r="B4" s="22" t="s">
        <v>194</v>
      </c>
      <c r="C4" s="156"/>
      <c r="D4" s="169"/>
      <c r="E4" s="21" t="s">
        <v>195</v>
      </c>
      <c r="F4" s="156"/>
      <c r="G4" s="156"/>
      <c r="H4" s="162"/>
      <c r="I4" s="169"/>
      <c r="J4" s="156"/>
      <c r="K4" s="156"/>
      <c r="L4" s="162"/>
      <c r="M4" s="162"/>
      <c r="N4" s="169"/>
      <c r="O4" s="156"/>
      <c r="P4" s="156"/>
      <c r="Q4" s="156"/>
      <c r="R4" s="156"/>
      <c r="S4" s="147"/>
      <c r="T4" s="156"/>
      <c r="U4" s="156"/>
      <c r="V4" s="156"/>
    </row>
    <row r="5" spans="1:22" ht="32" customHeight="1" x14ac:dyDescent="0.2">
      <c r="A5" s="162"/>
      <c r="B5" s="21"/>
      <c r="C5" s="156"/>
      <c r="D5" s="169"/>
      <c r="E5" s="21" t="s">
        <v>196</v>
      </c>
      <c r="F5" s="156"/>
      <c r="G5" s="156"/>
      <c r="H5" s="162"/>
      <c r="I5" s="169"/>
      <c r="J5" s="156"/>
      <c r="K5" s="156"/>
      <c r="L5" s="162"/>
      <c r="M5" s="162"/>
      <c r="N5" s="169"/>
      <c r="O5" s="156"/>
      <c r="P5" s="156"/>
      <c r="Q5" s="156"/>
      <c r="R5" s="156"/>
      <c r="S5" s="147"/>
      <c r="T5" s="156"/>
      <c r="U5" s="156"/>
      <c r="V5" s="156"/>
    </row>
    <row r="6" spans="1:22" ht="32" customHeight="1" x14ac:dyDescent="0.2">
      <c r="A6" s="162"/>
      <c r="B6" s="21"/>
      <c r="C6" s="156"/>
      <c r="D6" s="169"/>
      <c r="E6" s="21" t="s">
        <v>197</v>
      </c>
      <c r="F6" s="156"/>
      <c r="G6" s="156"/>
      <c r="H6" s="162"/>
      <c r="I6" s="169"/>
      <c r="J6" s="156"/>
      <c r="K6" s="156"/>
      <c r="L6" s="162"/>
      <c r="M6" s="162"/>
      <c r="N6" s="169"/>
      <c r="O6" s="156"/>
      <c r="P6" s="156"/>
      <c r="Q6" s="156"/>
      <c r="R6" s="156"/>
      <c r="S6" s="147"/>
      <c r="T6" s="156"/>
      <c r="U6" s="156"/>
      <c r="V6" s="156"/>
    </row>
    <row r="7" spans="1:22" ht="32" customHeight="1" x14ac:dyDescent="0.2">
      <c r="A7" s="162"/>
      <c r="B7" s="23"/>
      <c r="C7" s="156"/>
      <c r="D7" s="169"/>
      <c r="E7" s="21" t="s">
        <v>198</v>
      </c>
      <c r="F7" s="156"/>
      <c r="G7" s="156"/>
      <c r="H7" s="162"/>
      <c r="I7" s="169"/>
      <c r="J7" s="156"/>
      <c r="K7" s="156"/>
      <c r="L7" s="162"/>
      <c r="M7" s="162"/>
      <c r="N7" s="169"/>
      <c r="O7" s="156"/>
      <c r="P7" s="156"/>
      <c r="Q7" s="156"/>
      <c r="R7" s="156"/>
      <c r="S7" s="147"/>
      <c r="T7" s="156"/>
      <c r="U7" s="156"/>
      <c r="V7" s="156"/>
    </row>
    <row r="8" spans="1:22" ht="16" customHeight="1" x14ac:dyDescent="0.2">
      <c r="A8" s="162"/>
      <c r="B8" s="24"/>
      <c r="C8" s="157"/>
      <c r="D8" s="170"/>
      <c r="E8" s="25"/>
      <c r="F8" s="157"/>
      <c r="G8" s="157"/>
      <c r="H8" s="163"/>
      <c r="I8" s="170"/>
      <c r="J8" s="157"/>
      <c r="K8" s="157"/>
      <c r="L8" s="163"/>
      <c r="M8" s="163"/>
      <c r="N8" s="170"/>
      <c r="O8" s="157"/>
      <c r="P8" s="157"/>
      <c r="Q8" s="157"/>
      <c r="R8" s="157"/>
      <c r="S8" s="148"/>
      <c r="T8" s="157"/>
      <c r="U8" s="157"/>
      <c r="V8" s="157"/>
    </row>
    <row r="9" spans="1:22" ht="97" customHeight="1" x14ac:dyDescent="0.2">
      <c r="A9" s="163"/>
      <c r="B9" s="26" t="s">
        <v>199</v>
      </c>
      <c r="C9" s="26" t="s">
        <v>200</v>
      </c>
      <c r="D9" s="67" t="s">
        <v>201</v>
      </c>
      <c r="E9" s="26"/>
      <c r="F9" s="26" t="s">
        <v>202</v>
      </c>
      <c r="G9" s="26" t="s">
        <v>203</v>
      </c>
      <c r="H9" s="31" t="s">
        <v>204</v>
      </c>
      <c r="I9" s="67" t="s">
        <v>205</v>
      </c>
      <c r="J9" s="26" t="s">
        <v>206</v>
      </c>
      <c r="K9" s="26" t="s">
        <v>207</v>
      </c>
      <c r="L9" s="31" t="s">
        <v>208</v>
      </c>
      <c r="M9" s="31" t="s">
        <v>209</v>
      </c>
      <c r="N9" s="67" t="s">
        <v>210</v>
      </c>
      <c r="O9" s="26" t="s">
        <v>211</v>
      </c>
      <c r="P9" s="26" t="s">
        <v>212</v>
      </c>
      <c r="Q9" s="26" t="s">
        <v>213</v>
      </c>
      <c r="R9" s="26" t="s">
        <v>214</v>
      </c>
      <c r="S9" s="114" t="s">
        <v>199</v>
      </c>
      <c r="T9" s="26"/>
      <c r="U9" s="26" t="s">
        <v>215</v>
      </c>
      <c r="V9" s="26" t="s">
        <v>216</v>
      </c>
    </row>
    <row r="10" spans="1:22" ht="97" customHeight="1" x14ac:dyDescent="0.2">
      <c r="A10" s="111"/>
      <c r="B10" s="20"/>
      <c r="C10" s="20"/>
      <c r="D10" s="68"/>
      <c r="E10" s="20"/>
      <c r="F10" s="20"/>
      <c r="G10" s="20"/>
      <c r="H10" s="110"/>
      <c r="I10" s="68"/>
      <c r="J10" s="20"/>
      <c r="K10" s="20"/>
      <c r="L10" s="110"/>
      <c r="M10" s="110"/>
      <c r="N10" s="68"/>
      <c r="O10" s="20"/>
      <c r="P10" s="20"/>
      <c r="Q10" s="20"/>
      <c r="R10" s="20"/>
      <c r="S10" s="116" t="s">
        <v>217</v>
      </c>
      <c r="T10" s="20"/>
      <c r="U10" s="20" t="s">
        <v>218</v>
      </c>
      <c r="V10" s="20" t="s">
        <v>219</v>
      </c>
    </row>
    <row r="11" spans="1:22" ht="43.5" customHeight="1" x14ac:dyDescent="0.2">
      <c r="A11" s="164" t="s">
        <v>220</v>
      </c>
      <c r="B11" s="149" t="s">
        <v>221</v>
      </c>
      <c r="C11" s="27" t="s">
        <v>222</v>
      </c>
      <c r="D11" s="168" t="s">
        <v>223</v>
      </c>
      <c r="E11" s="149" t="s">
        <v>224</v>
      </c>
      <c r="F11" s="164" t="s">
        <v>225</v>
      </c>
      <c r="G11" s="149" t="s">
        <v>226</v>
      </c>
      <c r="H11" s="164" t="s">
        <v>227</v>
      </c>
      <c r="I11" s="168" t="s">
        <v>228</v>
      </c>
      <c r="J11" s="164" t="s">
        <v>229</v>
      </c>
      <c r="K11" s="149" t="s">
        <v>230</v>
      </c>
      <c r="L11" s="164" t="s">
        <v>231</v>
      </c>
      <c r="M11" s="164"/>
      <c r="N11" s="168" t="s">
        <v>232</v>
      </c>
      <c r="O11" s="149" t="s">
        <v>233</v>
      </c>
      <c r="P11" s="149" t="s">
        <v>234</v>
      </c>
      <c r="Q11" s="149" t="s">
        <v>235</v>
      </c>
      <c r="R11" s="149" t="s">
        <v>236</v>
      </c>
      <c r="S11" s="146" t="s">
        <v>221</v>
      </c>
      <c r="T11" s="149" t="s">
        <v>237</v>
      </c>
      <c r="U11" s="149" t="s">
        <v>238</v>
      </c>
      <c r="V11" s="149" t="s">
        <v>239</v>
      </c>
    </row>
    <row r="12" spans="1:22" x14ac:dyDescent="0.2">
      <c r="A12" s="165"/>
      <c r="B12" s="150"/>
      <c r="C12" s="28"/>
      <c r="D12" s="169"/>
      <c r="E12" s="150"/>
      <c r="F12" s="165"/>
      <c r="G12" s="150"/>
      <c r="H12" s="165"/>
      <c r="I12" s="169"/>
      <c r="J12" s="165"/>
      <c r="K12" s="150"/>
      <c r="L12" s="165"/>
      <c r="M12" s="165"/>
      <c r="N12" s="169"/>
      <c r="O12" s="150"/>
      <c r="P12" s="150"/>
      <c r="Q12" s="150"/>
      <c r="R12" s="150"/>
      <c r="S12" s="147"/>
      <c r="T12" s="150"/>
      <c r="U12" s="150"/>
      <c r="V12" s="150"/>
    </row>
    <row r="13" spans="1:22" ht="49" customHeight="1" x14ac:dyDescent="0.2">
      <c r="A13" s="165"/>
      <c r="B13" s="151"/>
      <c r="C13" s="29" t="s">
        <v>240</v>
      </c>
      <c r="D13" s="170"/>
      <c r="E13" s="151"/>
      <c r="F13" s="165"/>
      <c r="G13" s="151"/>
      <c r="H13" s="165"/>
      <c r="I13" s="170"/>
      <c r="J13" s="165"/>
      <c r="K13" s="151"/>
      <c r="L13" s="165"/>
      <c r="M13" s="165"/>
      <c r="N13" s="170"/>
      <c r="O13" s="151"/>
      <c r="P13" s="151"/>
      <c r="Q13" s="151"/>
      <c r="R13" s="151"/>
      <c r="S13" s="148"/>
      <c r="T13" s="151"/>
      <c r="U13" s="151"/>
      <c r="V13" s="151"/>
    </row>
    <row r="14" spans="1:22" ht="34.5" customHeight="1" x14ac:dyDescent="0.2">
      <c r="A14" s="165"/>
      <c r="B14" s="149" t="s">
        <v>241</v>
      </c>
      <c r="C14" s="149" t="s">
        <v>242</v>
      </c>
      <c r="D14" s="168" t="s">
        <v>243</v>
      </c>
      <c r="E14" s="149" t="s">
        <v>242</v>
      </c>
      <c r="F14" s="165"/>
      <c r="G14" s="149" t="s">
        <v>244</v>
      </c>
      <c r="H14" s="165"/>
      <c r="I14" s="168" t="s">
        <v>245</v>
      </c>
      <c r="J14" s="165"/>
      <c r="K14" s="149" t="s">
        <v>244</v>
      </c>
      <c r="L14" s="165"/>
      <c r="M14" s="165"/>
      <c r="N14" s="168" t="s">
        <v>246</v>
      </c>
      <c r="O14" s="149" t="s">
        <v>247</v>
      </c>
      <c r="P14" s="149"/>
      <c r="Q14" s="149" t="s">
        <v>248</v>
      </c>
      <c r="R14" s="149" t="s">
        <v>249</v>
      </c>
      <c r="S14" s="146" t="s">
        <v>241</v>
      </c>
      <c r="T14" s="149"/>
      <c r="U14" s="149" t="s">
        <v>250</v>
      </c>
      <c r="V14" s="149" t="s">
        <v>251</v>
      </c>
    </row>
    <row r="15" spans="1:22" ht="35" customHeight="1" x14ac:dyDescent="0.2">
      <c r="A15" s="166"/>
      <c r="B15" s="151"/>
      <c r="C15" s="151"/>
      <c r="D15" s="170"/>
      <c r="E15" s="151"/>
      <c r="F15" s="166"/>
      <c r="G15" s="151"/>
      <c r="H15" s="166"/>
      <c r="I15" s="170"/>
      <c r="J15" s="166"/>
      <c r="K15" s="151"/>
      <c r="L15" s="166"/>
      <c r="M15" s="166"/>
      <c r="N15" s="170"/>
      <c r="O15" s="151"/>
      <c r="P15" s="151"/>
      <c r="Q15" s="151"/>
      <c r="R15" s="151"/>
      <c r="S15" s="148"/>
      <c r="T15" s="151"/>
      <c r="U15" s="151"/>
      <c r="V15" s="151"/>
    </row>
    <row r="16" spans="1:22" ht="43.5" customHeight="1" x14ac:dyDescent="0.2">
      <c r="A16" s="161" t="s">
        <v>252</v>
      </c>
      <c r="B16" s="155" t="s">
        <v>253</v>
      </c>
      <c r="C16" s="20" t="s">
        <v>254</v>
      </c>
      <c r="D16" s="168" t="s">
        <v>255</v>
      </c>
      <c r="E16" s="20" t="s">
        <v>256</v>
      </c>
      <c r="F16" s="155"/>
      <c r="G16" s="155" t="s">
        <v>257</v>
      </c>
      <c r="H16" s="155" t="s">
        <v>258</v>
      </c>
      <c r="I16" s="168" t="s">
        <v>259</v>
      </c>
      <c r="J16" s="155" t="s">
        <v>260</v>
      </c>
      <c r="K16" s="155" t="s">
        <v>261</v>
      </c>
      <c r="L16" s="155" t="s">
        <v>262</v>
      </c>
      <c r="M16" s="155" t="s">
        <v>263</v>
      </c>
      <c r="N16" s="168" t="s">
        <v>264</v>
      </c>
      <c r="O16" s="155" t="s">
        <v>265</v>
      </c>
      <c r="P16" s="155"/>
      <c r="Q16" s="155" t="s">
        <v>266</v>
      </c>
      <c r="R16" s="155" t="s">
        <v>267</v>
      </c>
      <c r="S16" s="146" t="s">
        <v>253</v>
      </c>
      <c r="T16" s="155" t="s">
        <v>268</v>
      </c>
      <c r="U16" s="155" t="s">
        <v>269</v>
      </c>
      <c r="V16" s="155" t="s">
        <v>270</v>
      </c>
    </row>
    <row r="17" spans="1:22" x14ac:dyDescent="0.2">
      <c r="A17" s="162"/>
      <c r="B17" s="156"/>
      <c r="C17" s="21"/>
      <c r="D17" s="169"/>
      <c r="E17" s="21"/>
      <c r="F17" s="156"/>
      <c r="G17" s="156"/>
      <c r="H17" s="156"/>
      <c r="I17" s="169"/>
      <c r="J17" s="156"/>
      <c r="K17" s="156"/>
      <c r="L17" s="156"/>
      <c r="M17" s="156"/>
      <c r="N17" s="169"/>
      <c r="O17" s="156"/>
      <c r="P17" s="156"/>
      <c r="Q17" s="156"/>
      <c r="R17" s="156"/>
      <c r="S17" s="147"/>
      <c r="T17" s="156"/>
      <c r="U17" s="156"/>
      <c r="V17" s="156"/>
    </row>
    <row r="18" spans="1:22" ht="113" customHeight="1" x14ac:dyDescent="0.2">
      <c r="A18" s="162"/>
      <c r="B18" s="157"/>
      <c r="C18" s="25" t="s">
        <v>271</v>
      </c>
      <c r="D18" s="170"/>
      <c r="E18" s="25" t="s">
        <v>272</v>
      </c>
      <c r="F18" s="157"/>
      <c r="G18" s="157"/>
      <c r="H18" s="157"/>
      <c r="I18" s="170"/>
      <c r="J18" s="157"/>
      <c r="K18" s="157"/>
      <c r="L18" s="157"/>
      <c r="M18" s="157"/>
      <c r="N18" s="170"/>
      <c r="O18" s="157"/>
      <c r="P18" s="157"/>
      <c r="Q18" s="157"/>
      <c r="R18" s="157"/>
      <c r="S18" s="148"/>
      <c r="T18" s="157"/>
      <c r="U18" s="157"/>
      <c r="V18" s="157"/>
    </row>
    <row r="19" spans="1:22" ht="93" customHeight="1" x14ac:dyDescent="0.2">
      <c r="A19" s="162"/>
      <c r="B19" s="155" t="s">
        <v>273</v>
      </c>
      <c r="C19" s="20" t="s">
        <v>274</v>
      </c>
      <c r="D19" s="68" t="s">
        <v>275</v>
      </c>
      <c r="E19" s="155" t="s">
        <v>276</v>
      </c>
      <c r="F19" s="155"/>
      <c r="G19" s="155" t="s">
        <v>277</v>
      </c>
      <c r="H19" s="155" t="s">
        <v>278</v>
      </c>
      <c r="I19" s="68" t="s">
        <v>279</v>
      </c>
      <c r="J19" s="155" t="s">
        <v>280</v>
      </c>
      <c r="K19" s="155" t="s">
        <v>281</v>
      </c>
      <c r="L19" s="155" t="s">
        <v>282</v>
      </c>
      <c r="M19" s="155"/>
      <c r="N19" s="174" t="s">
        <v>283</v>
      </c>
      <c r="O19" s="158" t="s">
        <v>284</v>
      </c>
      <c r="P19" s="158"/>
      <c r="Q19" s="158" t="s">
        <v>285</v>
      </c>
      <c r="R19" s="158" t="s">
        <v>286</v>
      </c>
      <c r="S19" s="152" t="s">
        <v>273</v>
      </c>
      <c r="T19" s="158"/>
      <c r="U19" s="158" t="s">
        <v>287</v>
      </c>
      <c r="V19" s="158" t="s">
        <v>288</v>
      </c>
    </row>
    <row r="20" spans="1:22" x14ac:dyDescent="0.2">
      <c r="A20" s="162"/>
      <c r="B20" s="156"/>
      <c r="C20" s="21"/>
      <c r="D20" s="69"/>
      <c r="E20" s="156"/>
      <c r="F20" s="156"/>
      <c r="G20" s="156"/>
      <c r="H20" s="156"/>
      <c r="I20" s="69"/>
      <c r="J20" s="156"/>
      <c r="K20" s="156"/>
      <c r="L20" s="156"/>
      <c r="M20" s="156"/>
      <c r="N20" s="175"/>
      <c r="O20" s="159"/>
      <c r="P20" s="159"/>
      <c r="Q20" s="159"/>
      <c r="R20" s="159"/>
      <c r="S20" s="153"/>
      <c r="T20" s="159"/>
      <c r="U20" s="159"/>
      <c r="V20" s="159"/>
    </row>
    <row r="21" spans="1:22" ht="102" customHeight="1" x14ac:dyDescent="0.2">
      <c r="A21" s="163"/>
      <c r="B21" s="157"/>
      <c r="C21" s="25" t="s">
        <v>289</v>
      </c>
      <c r="D21" s="70" t="s">
        <v>290</v>
      </c>
      <c r="E21" s="157"/>
      <c r="F21" s="157"/>
      <c r="G21" s="157"/>
      <c r="H21" s="157"/>
      <c r="I21" s="70" t="s">
        <v>291</v>
      </c>
      <c r="J21" s="157"/>
      <c r="K21" s="157"/>
      <c r="L21" s="157"/>
      <c r="M21" s="157"/>
      <c r="N21" s="176"/>
      <c r="O21" s="160"/>
      <c r="P21" s="160"/>
      <c r="Q21" s="160"/>
      <c r="R21" s="160"/>
      <c r="S21" s="154"/>
      <c r="T21" s="160"/>
      <c r="U21" s="160"/>
      <c r="V21" s="160"/>
    </row>
    <row r="22" spans="1:22" ht="97" customHeight="1" x14ac:dyDescent="0.2">
      <c r="A22" s="30" t="s">
        <v>292</v>
      </c>
      <c r="B22" s="30" t="s">
        <v>293</v>
      </c>
      <c r="C22" s="30" t="s">
        <v>294</v>
      </c>
      <c r="D22" s="67" t="s">
        <v>295</v>
      </c>
      <c r="E22" s="30" t="s">
        <v>296</v>
      </c>
      <c r="F22" s="30" t="s">
        <v>297</v>
      </c>
      <c r="G22" s="30" t="s">
        <v>298</v>
      </c>
      <c r="H22" s="30" t="s">
        <v>299</v>
      </c>
      <c r="I22" s="67" t="s">
        <v>300</v>
      </c>
      <c r="J22" s="30" t="s">
        <v>301</v>
      </c>
      <c r="K22" s="30" t="s">
        <v>302</v>
      </c>
      <c r="L22" s="30" t="s">
        <v>303</v>
      </c>
      <c r="M22" s="30"/>
      <c r="N22" s="67" t="s">
        <v>304</v>
      </c>
      <c r="O22" s="30" t="s">
        <v>305</v>
      </c>
      <c r="P22" s="30" t="s">
        <v>306</v>
      </c>
      <c r="Q22" s="30" t="s">
        <v>307</v>
      </c>
      <c r="R22" s="30" t="s">
        <v>308</v>
      </c>
      <c r="S22" s="114" t="s">
        <v>293</v>
      </c>
      <c r="T22" s="30" t="s">
        <v>309</v>
      </c>
      <c r="U22" s="30" t="s">
        <v>310</v>
      </c>
      <c r="V22" s="30" t="s">
        <v>311</v>
      </c>
    </row>
    <row r="23" spans="1:22" ht="160" x14ac:dyDescent="0.2">
      <c r="A23" s="155" t="s">
        <v>312</v>
      </c>
      <c r="B23" s="20" t="s">
        <v>313</v>
      </c>
      <c r="C23" s="155" t="s">
        <v>314</v>
      </c>
      <c r="D23" s="68" t="s">
        <v>315</v>
      </c>
      <c r="E23" s="20" t="s">
        <v>316</v>
      </c>
      <c r="F23" s="155" t="s">
        <v>317</v>
      </c>
      <c r="G23" s="155" t="s">
        <v>318</v>
      </c>
      <c r="H23" s="155" t="s">
        <v>319</v>
      </c>
      <c r="I23" s="68" t="s">
        <v>320</v>
      </c>
      <c r="J23" s="155" t="s">
        <v>321</v>
      </c>
      <c r="K23" s="155" t="s">
        <v>322</v>
      </c>
      <c r="L23" s="155" t="s">
        <v>323</v>
      </c>
      <c r="M23" s="167" t="s">
        <v>324</v>
      </c>
      <c r="N23" s="68" t="s">
        <v>325</v>
      </c>
      <c r="O23" s="20" t="s">
        <v>326</v>
      </c>
      <c r="P23" s="20"/>
      <c r="Q23" s="20" t="s">
        <v>327</v>
      </c>
      <c r="R23" s="20" t="s">
        <v>328</v>
      </c>
      <c r="S23" s="112" t="s">
        <v>313</v>
      </c>
      <c r="T23" s="94" t="s">
        <v>329</v>
      </c>
      <c r="U23" s="94" t="s">
        <v>330</v>
      </c>
      <c r="V23" s="94" t="s">
        <v>331</v>
      </c>
    </row>
    <row r="24" spans="1:22" x14ac:dyDescent="0.2">
      <c r="A24" s="156"/>
      <c r="B24" s="21"/>
      <c r="C24" s="156"/>
      <c r="D24" s="69"/>
      <c r="E24" s="21"/>
      <c r="F24" s="156"/>
      <c r="G24" s="156"/>
      <c r="H24" s="156"/>
      <c r="I24" s="69"/>
      <c r="J24" s="156"/>
      <c r="K24" s="156"/>
      <c r="L24" s="156"/>
      <c r="M24" s="156"/>
      <c r="N24" s="69"/>
      <c r="O24" s="21"/>
      <c r="P24" s="21"/>
      <c r="Q24" s="21"/>
      <c r="R24" s="21"/>
      <c r="S24" s="113"/>
      <c r="T24" s="21"/>
      <c r="U24" s="21"/>
      <c r="V24" s="21"/>
    </row>
    <row r="25" spans="1:22" ht="80" x14ac:dyDescent="0.2">
      <c r="A25" s="156"/>
      <c r="B25" s="21" t="s">
        <v>332</v>
      </c>
      <c r="C25" s="156"/>
      <c r="D25" s="69" t="s">
        <v>333</v>
      </c>
      <c r="E25" s="21" t="s">
        <v>334</v>
      </c>
      <c r="F25" s="156"/>
      <c r="G25" s="156"/>
      <c r="H25" s="156"/>
      <c r="I25" s="69" t="s">
        <v>335</v>
      </c>
      <c r="J25" s="156"/>
      <c r="K25" s="156"/>
      <c r="L25" s="156"/>
      <c r="M25" s="156"/>
      <c r="N25" s="69" t="s">
        <v>336</v>
      </c>
      <c r="O25" s="21" t="s">
        <v>337</v>
      </c>
      <c r="P25" s="21" t="s">
        <v>338</v>
      </c>
      <c r="Q25" s="21" t="s">
        <v>339</v>
      </c>
      <c r="R25" s="21" t="s">
        <v>340</v>
      </c>
      <c r="S25" s="113" t="s">
        <v>332</v>
      </c>
      <c r="T25" s="94" t="s">
        <v>341</v>
      </c>
      <c r="U25" s="94"/>
      <c r="V25" s="94"/>
    </row>
    <row r="26" spans="1:22" x14ac:dyDescent="0.2">
      <c r="A26" s="156"/>
      <c r="B26" s="23"/>
      <c r="C26" s="156"/>
      <c r="D26" s="71"/>
      <c r="E26" s="21"/>
      <c r="F26" s="156"/>
      <c r="G26" s="156"/>
      <c r="H26" s="156"/>
      <c r="I26" s="71"/>
      <c r="J26" s="156"/>
      <c r="K26" s="156"/>
      <c r="L26" s="156"/>
      <c r="M26" s="156"/>
      <c r="N26" s="71"/>
      <c r="O26" s="23"/>
      <c r="P26" s="23"/>
      <c r="Q26" s="23"/>
      <c r="R26" s="23"/>
      <c r="S26" s="115"/>
      <c r="T26" s="23"/>
      <c r="U26" s="23"/>
      <c r="V26" s="23"/>
    </row>
    <row r="27" spans="1:22" ht="80" x14ac:dyDescent="0.2">
      <c r="A27" s="157"/>
      <c r="B27" s="24"/>
      <c r="C27" s="157"/>
      <c r="D27" s="72"/>
      <c r="E27" s="25" t="s">
        <v>342</v>
      </c>
      <c r="F27" s="157"/>
      <c r="G27" s="157"/>
      <c r="H27" s="157"/>
      <c r="I27" s="72"/>
      <c r="J27" s="157"/>
      <c r="K27" s="157"/>
      <c r="L27" s="157"/>
      <c r="M27" s="157"/>
      <c r="N27" s="72"/>
      <c r="O27" s="24"/>
      <c r="P27" s="24"/>
      <c r="Q27" s="24"/>
      <c r="R27" s="24"/>
      <c r="S27" s="116" t="s">
        <v>343</v>
      </c>
      <c r="T27" s="24" t="s">
        <v>344</v>
      </c>
      <c r="U27" s="24" t="s">
        <v>345</v>
      </c>
      <c r="V27" s="24" t="s">
        <v>346</v>
      </c>
    </row>
    <row r="28" spans="1:22" ht="93" customHeight="1" x14ac:dyDescent="0.2">
      <c r="A28" s="30" t="s">
        <v>347</v>
      </c>
      <c r="B28" s="30" t="s">
        <v>348</v>
      </c>
      <c r="C28" s="30" t="s">
        <v>349</v>
      </c>
      <c r="D28" s="67" t="s">
        <v>350</v>
      </c>
      <c r="E28" s="30" t="s">
        <v>351</v>
      </c>
      <c r="F28" s="30"/>
      <c r="G28" s="30" t="s">
        <v>352</v>
      </c>
      <c r="H28" s="30" t="s">
        <v>353</v>
      </c>
      <c r="I28" s="67" t="s">
        <v>354</v>
      </c>
      <c r="J28" s="30"/>
      <c r="K28" s="30" t="s">
        <v>355</v>
      </c>
      <c r="L28" s="30" t="s">
        <v>356</v>
      </c>
      <c r="M28" s="30"/>
      <c r="N28" s="107" t="s">
        <v>350</v>
      </c>
      <c r="O28" s="107" t="s">
        <v>357</v>
      </c>
      <c r="P28" s="107"/>
      <c r="Q28" s="107" t="s">
        <v>358</v>
      </c>
      <c r="R28" s="107" t="s">
        <v>359</v>
      </c>
      <c r="S28" s="114" t="s">
        <v>360</v>
      </c>
      <c r="T28" s="117" t="s">
        <v>361</v>
      </c>
      <c r="U28" s="117" t="s">
        <v>362</v>
      </c>
      <c r="V28" s="117" t="s">
        <v>363</v>
      </c>
    </row>
    <row r="29" spans="1:22" ht="14.5" customHeight="1" x14ac:dyDescent="0.2">
      <c r="A29" s="155" t="s">
        <v>364</v>
      </c>
      <c r="B29" s="155" t="s">
        <v>365</v>
      </c>
      <c r="C29" s="20" t="s">
        <v>366</v>
      </c>
      <c r="D29" s="168" t="s">
        <v>367</v>
      </c>
      <c r="E29" s="20" t="s">
        <v>366</v>
      </c>
      <c r="F29" s="155"/>
      <c r="G29" s="155" t="s">
        <v>368</v>
      </c>
      <c r="H29" s="155" t="s">
        <v>369</v>
      </c>
      <c r="I29" s="168" t="s">
        <v>367</v>
      </c>
      <c r="J29" s="155"/>
      <c r="K29" s="155" t="s">
        <v>368</v>
      </c>
      <c r="L29" s="155" t="s">
        <v>370</v>
      </c>
      <c r="M29" s="155"/>
      <c r="N29" s="168" t="s">
        <v>371</v>
      </c>
      <c r="O29" s="155" t="s">
        <v>372</v>
      </c>
      <c r="P29" s="155"/>
      <c r="Q29" s="155" t="s">
        <v>373</v>
      </c>
      <c r="R29" s="155" t="s">
        <v>370</v>
      </c>
      <c r="S29" s="146" t="s">
        <v>365</v>
      </c>
      <c r="T29" s="155"/>
      <c r="U29" s="155" t="s">
        <v>374</v>
      </c>
      <c r="V29" s="155" t="s">
        <v>375</v>
      </c>
    </row>
    <row r="30" spans="1:22" x14ac:dyDescent="0.2">
      <c r="A30" s="156"/>
      <c r="B30" s="156"/>
      <c r="C30" s="21"/>
      <c r="D30" s="169"/>
      <c r="E30" s="21"/>
      <c r="F30" s="156"/>
      <c r="G30" s="156"/>
      <c r="H30" s="156"/>
      <c r="I30" s="169"/>
      <c r="J30" s="156"/>
      <c r="K30" s="156"/>
      <c r="L30" s="156"/>
      <c r="M30" s="156"/>
      <c r="N30" s="169"/>
      <c r="O30" s="156"/>
      <c r="P30" s="156"/>
      <c r="Q30" s="156"/>
      <c r="R30" s="156"/>
      <c r="S30" s="147"/>
      <c r="T30" s="156"/>
      <c r="U30" s="156"/>
      <c r="V30" s="156"/>
    </row>
    <row r="31" spans="1:22" ht="96" customHeight="1" x14ac:dyDescent="0.2">
      <c r="A31" s="156"/>
      <c r="B31" s="156"/>
      <c r="C31" s="21" t="s">
        <v>376</v>
      </c>
      <c r="D31" s="169"/>
      <c r="E31" s="21" t="s">
        <v>376</v>
      </c>
      <c r="F31" s="156"/>
      <c r="G31" s="156"/>
      <c r="H31" s="156"/>
      <c r="I31" s="169"/>
      <c r="J31" s="156"/>
      <c r="K31" s="156"/>
      <c r="L31" s="156"/>
      <c r="M31" s="156"/>
      <c r="N31" s="169"/>
      <c r="O31" s="156"/>
      <c r="P31" s="156"/>
      <c r="Q31" s="156"/>
      <c r="R31" s="156"/>
      <c r="S31" s="147"/>
      <c r="T31" s="156"/>
      <c r="U31" s="156"/>
      <c r="V31" s="156"/>
    </row>
    <row r="32" spans="1:22" ht="16" customHeight="1" x14ac:dyDescent="0.2">
      <c r="A32" s="157"/>
      <c r="B32" s="157"/>
      <c r="C32" s="24"/>
      <c r="D32" s="170"/>
      <c r="E32" s="25"/>
      <c r="F32" s="157"/>
      <c r="G32" s="157"/>
      <c r="H32" s="157"/>
      <c r="I32" s="170"/>
      <c r="J32" s="157"/>
      <c r="K32" s="157"/>
      <c r="L32" s="157"/>
      <c r="M32" s="157"/>
      <c r="N32" s="170"/>
      <c r="O32" s="157"/>
      <c r="P32" s="157"/>
      <c r="Q32" s="157"/>
      <c r="R32" s="157"/>
      <c r="S32" s="148"/>
      <c r="T32" s="157"/>
      <c r="U32" s="157"/>
      <c r="V32" s="157"/>
    </row>
    <row r="33" spans="1:22" x14ac:dyDescent="0.2">
      <c r="A33" s="164" t="s">
        <v>377</v>
      </c>
      <c r="B33" s="164"/>
      <c r="C33" s="164"/>
      <c r="D33" s="168"/>
      <c r="I33" s="168" t="s">
        <v>378</v>
      </c>
      <c r="J33" s="171" t="s">
        <v>379</v>
      </c>
      <c r="K33" s="155" t="s">
        <v>380</v>
      </c>
      <c r="L33" s="155" t="s">
        <v>381</v>
      </c>
      <c r="M33" s="155"/>
      <c r="N33" s="168" t="s">
        <v>382</v>
      </c>
      <c r="O33" s="149" t="s">
        <v>383</v>
      </c>
      <c r="P33" s="149" t="s">
        <v>384</v>
      </c>
      <c r="Q33" s="149" t="s">
        <v>385</v>
      </c>
      <c r="R33" s="149" t="s">
        <v>386</v>
      </c>
      <c r="S33" s="146"/>
      <c r="T33" s="149"/>
      <c r="U33" s="149"/>
      <c r="V33" s="149"/>
    </row>
    <row r="34" spans="1:22" x14ac:dyDescent="0.2">
      <c r="A34" s="165"/>
      <c r="B34" s="165"/>
      <c r="C34" s="165"/>
      <c r="D34" s="169"/>
      <c r="I34" s="169"/>
      <c r="J34" s="172"/>
      <c r="K34" s="156"/>
      <c r="L34" s="156"/>
      <c r="M34" s="156"/>
      <c r="N34" s="169"/>
      <c r="O34" s="150"/>
      <c r="P34" s="150"/>
      <c r="Q34" s="150"/>
      <c r="R34" s="150"/>
      <c r="S34" s="147"/>
      <c r="T34" s="150"/>
      <c r="U34" s="150"/>
      <c r="V34" s="150"/>
    </row>
    <row r="35" spans="1:22" x14ac:dyDescent="0.2">
      <c r="A35" s="165"/>
      <c r="B35" s="165"/>
      <c r="C35" s="165"/>
      <c r="D35" s="169"/>
      <c r="I35" s="169"/>
      <c r="J35" s="172"/>
      <c r="K35" s="156"/>
      <c r="L35" s="156"/>
      <c r="M35" s="156"/>
      <c r="N35" s="169"/>
      <c r="O35" s="150"/>
      <c r="P35" s="150"/>
      <c r="Q35" s="150"/>
      <c r="R35" s="150"/>
      <c r="S35" s="147"/>
      <c r="T35" s="150"/>
      <c r="U35" s="150"/>
      <c r="V35" s="150"/>
    </row>
    <row r="36" spans="1:22" ht="16" customHeight="1" x14ac:dyDescent="0.2">
      <c r="A36" s="166"/>
      <c r="B36" s="166"/>
      <c r="C36" s="166"/>
      <c r="D36" s="170"/>
      <c r="I36" s="170"/>
      <c r="J36" s="173"/>
      <c r="K36" s="157"/>
      <c r="L36" s="157"/>
      <c r="M36" s="157"/>
      <c r="N36" s="170"/>
      <c r="O36" s="151"/>
      <c r="P36" s="151"/>
      <c r="Q36" s="151"/>
      <c r="R36" s="151"/>
      <c r="S36" s="148"/>
      <c r="T36" s="151"/>
      <c r="U36" s="151"/>
      <c r="V36" s="151"/>
    </row>
  </sheetData>
  <mergeCells count="142">
    <mergeCell ref="R33:R36"/>
    <mergeCell ref="R16:R18"/>
    <mergeCell ref="P19:P21"/>
    <mergeCell ref="Q19:Q21"/>
    <mergeCell ref="R19:R21"/>
    <mergeCell ref="P29:P32"/>
    <mergeCell ref="Q29:Q32"/>
    <mergeCell ref="R29:R32"/>
    <mergeCell ref="R2:R8"/>
    <mergeCell ref="P11:P13"/>
    <mergeCell ref="Q11:Q13"/>
    <mergeCell ref="R11:R13"/>
    <mergeCell ref="P14:P15"/>
    <mergeCell ref="Q14:Q15"/>
    <mergeCell ref="R14:R15"/>
    <mergeCell ref="O33:O36"/>
    <mergeCell ref="N19:N21"/>
    <mergeCell ref="O19:O21"/>
    <mergeCell ref="P2:P8"/>
    <mergeCell ref="Q2:Q8"/>
    <mergeCell ref="P16:P18"/>
    <mergeCell ref="Q16:Q18"/>
    <mergeCell ref="P33:P36"/>
    <mergeCell ref="Q33:Q36"/>
    <mergeCell ref="O2:O8"/>
    <mergeCell ref="O11:O13"/>
    <mergeCell ref="O14:O15"/>
    <mergeCell ref="O16:O18"/>
    <mergeCell ref="O29:O32"/>
    <mergeCell ref="A33:A36"/>
    <mergeCell ref="B33:B36"/>
    <mergeCell ref="C33:C36"/>
    <mergeCell ref="D33:D36"/>
    <mergeCell ref="N2:N8"/>
    <mergeCell ref="N11:N13"/>
    <mergeCell ref="N14:N15"/>
    <mergeCell ref="N16:N18"/>
    <mergeCell ref="N29:N32"/>
    <mergeCell ref="N33:N36"/>
    <mergeCell ref="H2:H8"/>
    <mergeCell ref="A2:A9"/>
    <mergeCell ref="A11:A15"/>
    <mergeCell ref="A16:A21"/>
    <mergeCell ref="H11:H15"/>
    <mergeCell ref="F11:F15"/>
    <mergeCell ref="C2:C8"/>
    <mergeCell ref="D2:D8"/>
    <mergeCell ref="F2:F8"/>
    <mergeCell ref="G2:G8"/>
    <mergeCell ref="B14:B15"/>
    <mergeCell ref="C14:C15"/>
    <mergeCell ref="D14:D15"/>
    <mergeCell ref="E14:E15"/>
    <mergeCell ref="G14:G15"/>
    <mergeCell ref="B11:B13"/>
    <mergeCell ref="D11:D13"/>
    <mergeCell ref="E11:E13"/>
    <mergeCell ref="G11:G13"/>
    <mergeCell ref="H19:H21"/>
    <mergeCell ref="B16:B18"/>
    <mergeCell ref="D16:D18"/>
    <mergeCell ref="F16:F18"/>
    <mergeCell ref="G16:G18"/>
    <mergeCell ref="H16:H18"/>
    <mergeCell ref="B19:B21"/>
    <mergeCell ref="E19:E21"/>
    <mergeCell ref="F19:F21"/>
    <mergeCell ref="G19:G21"/>
    <mergeCell ref="H29:H32"/>
    <mergeCell ref="A23:A27"/>
    <mergeCell ref="C23:C27"/>
    <mergeCell ref="F23:F27"/>
    <mergeCell ref="G23:G27"/>
    <mergeCell ref="H23:H27"/>
    <mergeCell ref="A29:A32"/>
    <mergeCell ref="B29:B32"/>
    <mergeCell ref="D29:D32"/>
    <mergeCell ref="F29:F32"/>
    <mergeCell ref="G29:G32"/>
    <mergeCell ref="I33:I36"/>
    <mergeCell ref="J33:J36"/>
    <mergeCell ref="K33:K36"/>
    <mergeCell ref="L33:L36"/>
    <mergeCell ref="I2:I8"/>
    <mergeCell ref="I11:I13"/>
    <mergeCell ref="I14:I15"/>
    <mergeCell ref="I16:I18"/>
    <mergeCell ref="I29:I32"/>
    <mergeCell ref="J23:J27"/>
    <mergeCell ref="K23:K27"/>
    <mergeCell ref="L23:L27"/>
    <mergeCell ref="J29:J32"/>
    <mergeCell ref="K29:K32"/>
    <mergeCell ref="L29:L32"/>
    <mergeCell ref="J16:J18"/>
    <mergeCell ref="J2:J8"/>
    <mergeCell ref="K2:K8"/>
    <mergeCell ref="L2:L8"/>
    <mergeCell ref="J11:J15"/>
    <mergeCell ref="K11:K13"/>
    <mergeCell ref="L11:L15"/>
    <mergeCell ref="K14:K15"/>
    <mergeCell ref="K16:K18"/>
    <mergeCell ref="M29:M32"/>
    <mergeCell ref="M33:M36"/>
    <mergeCell ref="M2:M8"/>
    <mergeCell ref="M11:M15"/>
    <mergeCell ref="M16:M18"/>
    <mergeCell ref="M19:M21"/>
    <mergeCell ref="M23:M27"/>
    <mergeCell ref="J19:J21"/>
    <mergeCell ref="K19:K21"/>
    <mergeCell ref="L19:L21"/>
    <mergeCell ref="L16:L18"/>
    <mergeCell ref="S2:S8"/>
    <mergeCell ref="T2:T8"/>
    <mergeCell ref="U2:U8"/>
    <mergeCell ref="V2:V8"/>
    <mergeCell ref="S14:S15"/>
    <mergeCell ref="S11:S13"/>
    <mergeCell ref="S16:S18"/>
    <mergeCell ref="T11:T13"/>
    <mergeCell ref="U11:U13"/>
    <mergeCell ref="V11:V13"/>
    <mergeCell ref="T14:T15"/>
    <mergeCell ref="U14:U15"/>
    <mergeCell ref="V14:V15"/>
    <mergeCell ref="T16:T18"/>
    <mergeCell ref="U16:U18"/>
    <mergeCell ref="V16:V18"/>
    <mergeCell ref="S33:S36"/>
    <mergeCell ref="T33:T36"/>
    <mergeCell ref="U33:U36"/>
    <mergeCell ref="V33:V36"/>
    <mergeCell ref="S19:S21"/>
    <mergeCell ref="S29:S32"/>
    <mergeCell ref="T29:T32"/>
    <mergeCell ref="U29:U32"/>
    <mergeCell ref="V29:V32"/>
    <mergeCell ref="T19:T21"/>
    <mergeCell ref="U19:U21"/>
    <mergeCell ref="V19:V21"/>
  </mergeCells>
  <hyperlinks>
    <hyperlink ref="B4" r:id="rId1" display="../../../../../:x:/s/fascinaciondeclientes/EYtyeVnZuUlHobmpfk_Vg_kB7IBI4Ywz3SznJYDufqSYHQ?e=6qM69H" xr:uid="{54C7B91A-4FDD-48F6-B1D2-07426E7BC181}"/>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B4D9-9A41-5E4A-ACC3-CAEC52C34C2E}">
  <sheetPr codeName="Hoja11"/>
  <dimension ref="B2:H54"/>
  <sheetViews>
    <sheetView showGridLines="0" topLeftCell="A14" zoomScaleNormal="41" workbookViewId="0">
      <selection activeCell="D14" sqref="D14"/>
    </sheetView>
  </sheetViews>
  <sheetFormatPr baseColWidth="10" defaultColWidth="11.5" defaultRowHeight="15" x14ac:dyDescent="0.2"/>
  <cols>
    <col min="1" max="1" width="4.5" customWidth="1"/>
    <col min="3" max="6" width="47.5" customWidth="1"/>
    <col min="7" max="7" width="44" customWidth="1"/>
    <col min="8" max="8" width="44.5" customWidth="1"/>
  </cols>
  <sheetData>
    <row r="2" spans="2:7" ht="34" customHeight="1" x14ac:dyDescent="0.2">
      <c r="B2" s="88" t="s">
        <v>387</v>
      </c>
      <c r="C2" s="87"/>
      <c r="D2" s="87"/>
      <c r="E2" s="87"/>
      <c r="F2" s="87"/>
    </row>
    <row r="5" spans="2:7" x14ac:dyDescent="0.2">
      <c r="B5" s="75" t="s">
        <v>388</v>
      </c>
      <c r="C5" t="s">
        <v>389</v>
      </c>
      <c r="D5" s="82" t="s">
        <v>390</v>
      </c>
    </row>
    <row r="6" spans="2:7" x14ac:dyDescent="0.2">
      <c r="C6" t="s">
        <v>391</v>
      </c>
      <c r="D6" s="82" t="s">
        <v>392</v>
      </c>
    </row>
    <row r="7" spans="2:7" ht="16" x14ac:dyDescent="0.2">
      <c r="C7" s="17" t="s">
        <v>393</v>
      </c>
      <c r="D7" s="82" t="s">
        <v>394</v>
      </c>
      <c r="E7" s="82"/>
    </row>
    <row r="8" spans="2:7" x14ac:dyDescent="0.2">
      <c r="D8" s="82" t="s">
        <v>395</v>
      </c>
    </row>
    <row r="9" spans="2:7" x14ac:dyDescent="0.2">
      <c r="D9" s="82" t="s">
        <v>396</v>
      </c>
    </row>
    <row r="10" spans="2:7" x14ac:dyDescent="0.2">
      <c r="D10" s="82" t="s">
        <v>397</v>
      </c>
    </row>
    <row r="13" spans="2:7" ht="29" customHeight="1" x14ac:dyDescent="0.2">
      <c r="B13" s="92" t="s">
        <v>398</v>
      </c>
      <c r="C13" s="188" t="s">
        <v>399</v>
      </c>
      <c r="D13" s="188"/>
      <c r="E13" s="188"/>
      <c r="F13" s="188"/>
    </row>
    <row r="14" spans="2:7" ht="46" customHeight="1" x14ac:dyDescent="0.2">
      <c r="B14" s="83"/>
      <c r="C14" s="89" t="s">
        <v>400</v>
      </c>
      <c r="D14" s="89" t="s">
        <v>401</v>
      </c>
      <c r="E14" s="89" t="s">
        <v>402</v>
      </c>
      <c r="F14" s="89" t="s">
        <v>403</v>
      </c>
      <c r="G14" s="89" t="s">
        <v>404</v>
      </c>
    </row>
    <row r="15" spans="2:7" ht="160" x14ac:dyDescent="0.2">
      <c r="B15" s="93" t="s">
        <v>405</v>
      </c>
      <c r="C15" s="94" t="s">
        <v>406</v>
      </c>
      <c r="D15" s="94" t="s">
        <v>407</v>
      </c>
      <c r="E15" s="94" t="s">
        <v>408</v>
      </c>
      <c r="F15" s="94" t="s">
        <v>409</v>
      </c>
      <c r="G15" s="96" t="s">
        <v>410</v>
      </c>
    </row>
    <row r="16" spans="2:7" ht="48" x14ac:dyDescent="0.2">
      <c r="B16" s="93" t="s">
        <v>411</v>
      </c>
      <c r="C16" s="94" t="s">
        <v>412</v>
      </c>
      <c r="D16" s="94" t="s">
        <v>413</v>
      </c>
      <c r="E16" s="94" t="s">
        <v>414</v>
      </c>
      <c r="F16" s="95" t="s">
        <v>415</v>
      </c>
      <c r="G16" s="97" t="s">
        <v>416</v>
      </c>
    </row>
    <row r="17" spans="2:8" ht="176" x14ac:dyDescent="0.2">
      <c r="B17" s="93" t="s">
        <v>417</v>
      </c>
      <c r="C17" s="94" t="s">
        <v>418</v>
      </c>
      <c r="D17" s="94" t="s">
        <v>419</v>
      </c>
      <c r="E17" s="94" t="s">
        <v>420</v>
      </c>
      <c r="F17" s="94" t="s">
        <v>421</v>
      </c>
      <c r="G17" s="94" t="s">
        <v>422</v>
      </c>
    </row>
    <row r="18" spans="2:8" x14ac:dyDescent="0.2">
      <c r="B18" s="100"/>
      <c r="C18" s="101"/>
      <c r="D18" s="101"/>
      <c r="E18" s="101"/>
      <c r="F18" s="101"/>
      <c r="G18" s="101"/>
    </row>
    <row r="19" spans="2:8" x14ac:dyDescent="0.2">
      <c r="C19" s="99" t="s">
        <v>423</v>
      </c>
    </row>
    <row r="20" spans="2:8" x14ac:dyDescent="0.2">
      <c r="C20" s="99"/>
    </row>
    <row r="22" spans="2:8" x14ac:dyDescent="0.2">
      <c r="B22" s="75" t="s">
        <v>424</v>
      </c>
      <c r="C22" t="s">
        <v>425</v>
      </c>
    </row>
    <row r="23" spans="2:8" ht="24" customHeight="1" x14ac:dyDescent="0.2">
      <c r="B23" s="86"/>
      <c r="C23" s="90" t="s">
        <v>426</v>
      </c>
      <c r="D23" s="90" t="s">
        <v>427</v>
      </c>
      <c r="E23" s="90" t="s">
        <v>428</v>
      </c>
      <c r="F23" s="90" t="s">
        <v>429</v>
      </c>
      <c r="G23" s="104" t="s">
        <v>430</v>
      </c>
      <c r="H23" s="104" t="s">
        <v>431</v>
      </c>
    </row>
    <row r="24" spans="2:8" ht="80" x14ac:dyDescent="0.2">
      <c r="B24" s="181" t="s">
        <v>172</v>
      </c>
      <c r="C24" s="84" t="s">
        <v>173</v>
      </c>
      <c r="D24" s="94" t="s">
        <v>432</v>
      </c>
      <c r="E24" s="94" t="s">
        <v>433</v>
      </c>
      <c r="F24" s="94" t="s">
        <v>434</v>
      </c>
      <c r="G24" s="94" t="s">
        <v>184</v>
      </c>
      <c r="H24" s="94" t="s">
        <v>435</v>
      </c>
    </row>
    <row r="25" spans="2:8" ht="48" x14ac:dyDescent="0.2">
      <c r="B25" s="181"/>
      <c r="C25" s="84" t="s">
        <v>199</v>
      </c>
      <c r="D25" s="94" t="s">
        <v>436</v>
      </c>
      <c r="E25" s="94" t="s">
        <v>437</v>
      </c>
      <c r="F25" s="94" t="s">
        <v>438</v>
      </c>
      <c r="G25" s="102" t="s">
        <v>210</v>
      </c>
      <c r="H25" s="103" t="s">
        <v>439</v>
      </c>
    </row>
    <row r="26" spans="2:8" x14ac:dyDescent="0.2">
      <c r="B26" s="182" t="s">
        <v>220</v>
      </c>
      <c r="C26" s="183" t="s">
        <v>221</v>
      </c>
      <c r="D26" s="185" t="s">
        <v>440</v>
      </c>
      <c r="E26" s="185" t="s">
        <v>441</v>
      </c>
      <c r="F26" s="185" t="s">
        <v>442</v>
      </c>
      <c r="G26" s="178" t="s">
        <v>443</v>
      </c>
      <c r="H26" s="177" t="s">
        <v>233</v>
      </c>
    </row>
    <row r="27" spans="2:8" x14ac:dyDescent="0.2">
      <c r="B27" s="182"/>
      <c r="C27" s="183"/>
      <c r="D27" s="186"/>
      <c r="E27" s="186"/>
      <c r="F27" s="186"/>
      <c r="G27" s="179"/>
      <c r="H27" s="177"/>
    </row>
    <row r="28" spans="2:8" ht="31" customHeight="1" x14ac:dyDescent="0.2">
      <c r="B28" s="182"/>
      <c r="C28" s="183"/>
      <c r="D28" s="187"/>
      <c r="E28" s="187"/>
      <c r="F28" s="187"/>
      <c r="G28" s="180"/>
      <c r="H28" s="177"/>
    </row>
    <row r="29" spans="2:8" x14ac:dyDescent="0.2">
      <c r="B29" s="182"/>
      <c r="C29" s="183" t="s">
        <v>241</v>
      </c>
      <c r="D29" s="185"/>
      <c r="E29" s="185" t="s">
        <v>444</v>
      </c>
      <c r="F29" s="185" t="s">
        <v>445</v>
      </c>
      <c r="G29" s="178" t="s">
        <v>246</v>
      </c>
      <c r="H29" s="177" t="s">
        <v>247</v>
      </c>
    </row>
    <row r="30" spans="2:8" ht="53" customHeight="1" x14ac:dyDescent="0.2">
      <c r="B30" s="182"/>
      <c r="C30" s="183"/>
      <c r="D30" s="187"/>
      <c r="E30" s="187"/>
      <c r="F30" s="187"/>
      <c r="G30" s="180"/>
      <c r="H30" s="177"/>
    </row>
    <row r="31" spans="2:8" ht="19.5" customHeight="1" x14ac:dyDescent="0.2">
      <c r="B31" s="181" t="s">
        <v>252</v>
      </c>
      <c r="C31" s="184" t="s">
        <v>253</v>
      </c>
      <c r="D31" s="185" t="s">
        <v>446</v>
      </c>
      <c r="E31" s="185" t="s">
        <v>447</v>
      </c>
      <c r="F31" s="185" t="s">
        <v>448</v>
      </c>
      <c r="G31" s="178" t="s">
        <v>264</v>
      </c>
      <c r="H31" s="177" t="s">
        <v>265</v>
      </c>
    </row>
    <row r="32" spans="2:8" ht="19.5" customHeight="1" x14ac:dyDescent="0.2">
      <c r="B32" s="181"/>
      <c r="C32" s="184"/>
      <c r="D32" s="186"/>
      <c r="E32" s="186"/>
      <c r="F32" s="186"/>
      <c r="G32" s="179"/>
      <c r="H32" s="177"/>
    </row>
    <row r="33" spans="2:8" ht="19.5" customHeight="1" x14ac:dyDescent="0.2">
      <c r="B33" s="181"/>
      <c r="C33" s="184"/>
      <c r="D33" s="187"/>
      <c r="E33" s="187"/>
      <c r="F33" s="187"/>
      <c r="G33" s="180"/>
      <c r="H33" s="177"/>
    </row>
    <row r="34" spans="2:8" x14ac:dyDescent="0.2">
      <c r="B34" s="181"/>
      <c r="C34" s="184" t="s">
        <v>273</v>
      </c>
      <c r="D34" s="185" t="s">
        <v>440</v>
      </c>
      <c r="E34" s="185" t="s">
        <v>449</v>
      </c>
      <c r="F34" s="185" t="s">
        <v>450</v>
      </c>
      <c r="G34" s="178" t="s">
        <v>283</v>
      </c>
      <c r="H34" s="177" t="s">
        <v>284</v>
      </c>
    </row>
    <row r="35" spans="2:8" x14ac:dyDescent="0.2">
      <c r="B35" s="181"/>
      <c r="C35" s="184"/>
      <c r="D35" s="186"/>
      <c r="E35" s="186"/>
      <c r="F35" s="186"/>
      <c r="G35" s="179"/>
      <c r="H35" s="177"/>
    </row>
    <row r="36" spans="2:8" x14ac:dyDescent="0.2">
      <c r="B36" s="181"/>
      <c r="C36" s="184"/>
      <c r="D36" s="187"/>
      <c r="E36" s="187"/>
      <c r="F36" s="187"/>
      <c r="G36" s="180"/>
      <c r="H36" s="177"/>
    </row>
    <row r="37" spans="2:8" ht="48" x14ac:dyDescent="0.2">
      <c r="B37" s="85" t="s">
        <v>292</v>
      </c>
      <c r="C37" s="85" t="s">
        <v>293</v>
      </c>
      <c r="D37" s="94" t="s">
        <v>451</v>
      </c>
      <c r="E37" s="94" t="s">
        <v>452</v>
      </c>
      <c r="F37" s="94" t="s">
        <v>453</v>
      </c>
      <c r="G37" s="95" t="s">
        <v>304</v>
      </c>
      <c r="H37" s="94" t="s">
        <v>305</v>
      </c>
    </row>
    <row r="38" spans="2:8" ht="44.25" customHeight="1" x14ac:dyDescent="0.2">
      <c r="B38" s="184" t="s">
        <v>312</v>
      </c>
      <c r="C38" s="84" t="s">
        <v>313</v>
      </c>
      <c r="D38" s="94" t="s">
        <v>454</v>
      </c>
      <c r="E38" s="94" t="s">
        <v>455</v>
      </c>
      <c r="F38" s="94" t="s">
        <v>456</v>
      </c>
      <c r="G38" s="95" t="s">
        <v>325</v>
      </c>
      <c r="H38" s="94" t="s">
        <v>326</v>
      </c>
    </row>
    <row r="39" spans="2:8" ht="44.25" customHeight="1" x14ac:dyDescent="0.2">
      <c r="B39" s="184"/>
      <c r="C39" s="84" t="s">
        <v>332</v>
      </c>
      <c r="D39" s="94" t="s">
        <v>457</v>
      </c>
      <c r="E39" s="94" t="s">
        <v>458</v>
      </c>
      <c r="F39" s="94" t="s">
        <v>459</v>
      </c>
      <c r="G39" s="95" t="s">
        <v>336</v>
      </c>
      <c r="H39" s="94" t="s">
        <v>337</v>
      </c>
    </row>
    <row r="40" spans="2:8" ht="32" x14ac:dyDescent="0.2">
      <c r="B40" s="85" t="s">
        <v>347</v>
      </c>
      <c r="C40" s="85" t="s">
        <v>348</v>
      </c>
      <c r="D40" s="94"/>
      <c r="E40" s="94" t="s">
        <v>460</v>
      </c>
      <c r="F40" s="94" t="s">
        <v>461</v>
      </c>
      <c r="G40" s="105" t="s">
        <v>462</v>
      </c>
      <c r="H40" s="106"/>
    </row>
    <row r="41" spans="2:8" x14ac:dyDescent="0.2">
      <c r="B41" s="184" t="s">
        <v>364</v>
      </c>
      <c r="C41" s="184" t="s">
        <v>365</v>
      </c>
      <c r="D41" s="185"/>
      <c r="E41" s="185" t="s">
        <v>463</v>
      </c>
      <c r="F41" s="185" t="s">
        <v>464</v>
      </c>
      <c r="G41" s="178" t="s">
        <v>371</v>
      </c>
      <c r="H41" s="177" t="s">
        <v>372</v>
      </c>
    </row>
    <row r="42" spans="2:8" x14ac:dyDescent="0.2">
      <c r="B42" s="184"/>
      <c r="C42" s="184"/>
      <c r="D42" s="186"/>
      <c r="E42" s="186"/>
      <c r="F42" s="186"/>
      <c r="G42" s="179"/>
      <c r="H42" s="177"/>
    </row>
    <row r="43" spans="2:8" x14ac:dyDescent="0.2">
      <c r="B43" s="184"/>
      <c r="C43" s="184"/>
      <c r="D43" s="186"/>
      <c r="E43" s="186"/>
      <c r="F43" s="186"/>
      <c r="G43" s="179"/>
      <c r="H43" s="177"/>
    </row>
    <row r="44" spans="2:8" x14ac:dyDescent="0.2">
      <c r="B44" s="184"/>
      <c r="C44" s="184"/>
      <c r="D44" s="187"/>
      <c r="E44" s="187"/>
      <c r="F44" s="187"/>
      <c r="G44" s="180"/>
      <c r="H44" s="177"/>
    </row>
    <row r="45" spans="2:8" x14ac:dyDescent="0.2">
      <c r="B45" s="91"/>
      <c r="C45" s="91"/>
      <c r="D45" s="44"/>
      <c r="E45" s="44"/>
      <c r="F45" s="44"/>
    </row>
    <row r="47" spans="2:8" x14ac:dyDescent="0.2">
      <c r="B47" s="75" t="s">
        <v>465</v>
      </c>
      <c r="C47" t="s">
        <v>466</v>
      </c>
      <c r="D47" s="82" t="s">
        <v>467</v>
      </c>
    </row>
    <row r="50" spans="2:5" x14ac:dyDescent="0.2">
      <c r="B50" s="75" t="s">
        <v>468</v>
      </c>
      <c r="C50" t="s">
        <v>469</v>
      </c>
    </row>
    <row r="51" spans="2:5" ht="32" x14ac:dyDescent="0.2">
      <c r="B51" s="83"/>
      <c r="C51" s="89" t="s">
        <v>470</v>
      </c>
      <c r="D51" s="89" t="s">
        <v>471</v>
      </c>
      <c r="E51" s="89" t="s">
        <v>472</v>
      </c>
    </row>
    <row r="52" spans="2:5" ht="32" customHeight="1" x14ac:dyDescent="0.2">
      <c r="B52" s="98" t="s">
        <v>405</v>
      </c>
      <c r="C52" s="94" t="s">
        <v>473</v>
      </c>
      <c r="D52" s="94" t="s">
        <v>474</v>
      </c>
      <c r="E52" s="94"/>
    </row>
    <row r="53" spans="2:5" ht="48" x14ac:dyDescent="0.2">
      <c r="B53" s="98" t="s">
        <v>411</v>
      </c>
      <c r="C53" s="94" t="s">
        <v>475</v>
      </c>
      <c r="D53" s="94" t="s">
        <v>476</v>
      </c>
      <c r="E53" s="94" t="s">
        <v>477</v>
      </c>
    </row>
    <row r="54" spans="2:5" ht="64" x14ac:dyDescent="0.2">
      <c r="B54" s="98" t="s">
        <v>417</v>
      </c>
      <c r="C54" s="94" t="s">
        <v>478</v>
      </c>
      <c r="D54" s="94" t="s">
        <v>479</v>
      </c>
      <c r="E54" s="94" t="s">
        <v>480</v>
      </c>
    </row>
  </sheetData>
  <mergeCells count="36">
    <mergeCell ref="C13:F13"/>
    <mergeCell ref="E41:E44"/>
    <mergeCell ref="F26:F28"/>
    <mergeCell ref="F29:F30"/>
    <mergeCell ref="F31:F33"/>
    <mergeCell ref="F34:F36"/>
    <mergeCell ref="F41:F44"/>
    <mergeCell ref="E26:E28"/>
    <mergeCell ref="E29:E30"/>
    <mergeCell ref="E31:E33"/>
    <mergeCell ref="E34:E36"/>
    <mergeCell ref="B38:B39"/>
    <mergeCell ref="B41:B44"/>
    <mergeCell ref="C41:C44"/>
    <mergeCell ref="D26:D28"/>
    <mergeCell ref="D29:D30"/>
    <mergeCell ref="D31:D33"/>
    <mergeCell ref="D34:D36"/>
    <mergeCell ref="D41:D44"/>
    <mergeCell ref="B24:B25"/>
    <mergeCell ref="B26:B30"/>
    <mergeCell ref="C26:C28"/>
    <mergeCell ref="C29:C30"/>
    <mergeCell ref="B31:B36"/>
    <mergeCell ref="C31:C33"/>
    <mergeCell ref="C34:C36"/>
    <mergeCell ref="G26:G28"/>
    <mergeCell ref="G29:G30"/>
    <mergeCell ref="G31:G33"/>
    <mergeCell ref="G34:G36"/>
    <mergeCell ref="G41:G44"/>
    <mergeCell ref="H26:H28"/>
    <mergeCell ref="H29:H30"/>
    <mergeCell ref="H31:H33"/>
    <mergeCell ref="H34:H36"/>
    <mergeCell ref="H41:H44"/>
  </mergeCells>
  <hyperlinks>
    <hyperlink ref="D5" r:id="rId1" xr:uid="{7923640E-8875-FC4C-A0D4-4517FAE83CCB}"/>
    <hyperlink ref="D6" r:id="rId2" xr:uid="{8E83C00B-6272-FF4B-9284-9B315D0B23A4}"/>
    <hyperlink ref="D47" r:id="rId3" xr:uid="{1DC272CD-5204-0845-9F52-374A62A90C87}"/>
    <hyperlink ref="D7" r:id="rId4" xr:uid="{C62C6AD4-08B7-E84E-A96F-1FD480109362}"/>
    <hyperlink ref="D8" r:id="rId5" xr:uid="{30BF0455-334D-634B-BBDD-8791C4D552ED}"/>
    <hyperlink ref="D9" r:id="rId6" xr:uid="{7007C663-D600-184E-98B4-9B0CC9C153DB}"/>
    <hyperlink ref="D10" r:id="rId7" xr:uid="{0BA068D2-A1D1-FD4A-8C44-AAE3D5A56BD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BC9A-B9E7-7D46-93DC-192C934EBFE0}">
  <sheetPr codeName="Hoja12"/>
  <dimension ref="B2:H56"/>
  <sheetViews>
    <sheetView showGridLines="0" topLeftCell="A14" zoomScale="110" zoomScaleNormal="110" workbookViewId="0">
      <selection activeCell="D23" sqref="D23"/>
    </sheetView>
  </sheetViews>
  <sheetFormatPr baseColWidth="10" defaultColWidth="11.5" defaultRowHeight="15" x14ac:dyDescent="0.2"/>
  <cols>
    <col min="1" max="1" width="4.5" customWidth="1"/>
    <col min="3" max="3" width="52.5" customWidth="1"/>
    <col min="4" max="6" width="39" customWidth="1"/>
    <col min="7" max="7" width="44" customWidth="1"/>
    <col min="8" max="8" width="44.5" customWidth="1"/>
  </cols>
  <sheetData>
    <row r="2" spans="2:7" ht="34" customHeight="1" x14ac:dyDescent="0.2">
      <c r="B2" s="88" t="s">
        <v>481</v>
      </c>
      <c r="C2" s="87"/>
      <c r="D2" s="87"/>
      <c r="E2" s="87"/>
      <c r="F2" s="87"/>
    </row>
    <row r="5" spans="2:7" x14ac:dyDescent="0.2">
      <c r="B5" s="75" t="s">
        <v>388</v>
      </c>
      <c r="C5" t="s">
        <v>482</v>
      </c>
      <c r="D5" s="82" t="s">
        <v>483</v>
      </c>
    </row>
    <row r="6" spans="2:7" x14ac:dyDescent="0.2">
      <c r="C6" t="s">
        <v>484</v>
      </c>
      <c r="D6" s="82" t="s">
        <v>485</v>
      </c>
    </row>
    <row r="7" spans="2:7" ht="16" x14ac:dyDescent="0.2">
      <c r="C7" s="17" t="s">
        <v>393</v>
      </c>
      <c r="D7" s="82" t="s">
        <v>394</v>
      </c>
      <c r="E7" s="82"/>
    </row>
    <row r="8" spans="2:7" x14ac:dyDescent="0.2">
      <c r="D8" s="82" t="s">
        <v>395</v>
      </c>
    </row>
    <row r="9" spans="2:7" x14ac:dyDescent="0.2">
      <c r="D9" s="82" t="s">
        <v>396</v>
      </c>
    </row>
    <row r="10" spans="2:7" x14ac:dyDescent="0.2">
      <c r="D10" s="82" t="s">
        <v>397</v>
      </c>
    </row>
    <row r="13" spans="2:7" ht="41" customHeight="1" x14ac:dyDescent="0.2">
      <c r="B13" s="92" t="s">
        <v>398</v>
      </c>
      <c r="C13" s="188" t="s">
        <v>399</v>
      </c>
      <c r="D13" s="188"/>
      <c r="E13" s="188"/>
      <c r="F13" s="188"/>
    </row>
    <row r="14" spans="2:7" ht="46" customHeight="1" x14ac:dyDescent="0.2">
      <c r="B14" s="83"/>
      <c r="C14" s="89" t="s">
        <v>400</v>
      </c>
      <c r="D14" s="89" t="s">
        <v>401</v>
      </c>
      <c r="E14" s="89" t="s">
        <v>402</v>
      </c>
      <c r="F14" s="89" t="s">
        <v>486</v>
      </c>
      <c r="G14" s="89" t="s">
        <v>487</v>
      </c>
    </row>
    <row r="15" spans="2:7" ht="48" x14ac:dyDescent="0.2">
      <c r="B15" s="93" t="s">
        <v>405</v>
      </c>
      <c r="C15" s="94" t="s">
        <v>488</v>
      </c>
      <c r="D15" s="94" t="s">
        <v>489</v>
      </c>
      <c r="E15" s="94" t="s">
        <v>490</v>
      </c>
      <c r="F15" s="94" t="s">
        <v>491</v>
      </c>
      <c r="G15" s="96" t="s">
        <v>492</v>
      </c>
    </row>
    <row r="16" spans="2:7" ht="56.25" customHeight="1" x14ac:dyDescent="0.2">
      <c r="B16" s="93" t="s">
        <v>411</v>
      </c>
      <c r="C16" s="94" t="s">
        <v>493</v>
      </c>
      <c r="D16" s="94" t="s">
        <v>494</v>
      </c>
      <c r="E16" s="94" t="s">
        <v>495</v>
      </c>
      <c r="F16" s="95" t="s">
        <v>496</v>
      </c>
      <c r="G16" s="97" t="s">
        <v>497</v>
      </c>
    </row>
    <row r="17" spans="2:8" ht="96" x14ac:dyDescent="0.2">
      <c r="B17" s="93" t="s">
        <v>417</v>
      </c>
      <c r="C17" s="94" t="s">
        <v>498</v>
      </c>
      <c r="D17" s="94" t="s">
        <v>499</v>
      </c>
      <c r="E17" s="94" t="s">
        <v>500</v>
      </c>
      <c r="F17" s="94" t="s">
        <v>501</v>
      </c>
      <c r="G17" s="94" t="s">
        <v>502</v>
      </c>
    </row>
    <row r="18" spans="2:8" x14ac:dyDescent="0.2">
      <c r="B18" s="100"/>
      <c r="C18" s="101"/>
      <c r="D18" s="101"/>
      <c r="E18" s="101"/>
      <c r="F18" s="101"/>
      <c r="G18" s="101"/>
    </row>
    <row r="22" spans="2:8" x14ac:dyDescent="0.2">
      <c r="B22" s="75" t="s">
        <v>424</v>
      </c>
      <c r="C22" t="s">
        <v>503</v>
      </c>
    </row>
    <row r="23" spans="2:8" ht="24" customHeight="1" x14ac:dyDescent="0.2">
      <c r="B23" s="86"/>
      <c r="C23" s="90" t="s">
        <v>426</v>
      </c>
      <c r="D23" s="90" t="s">
        <v>427</v>
      </c>
      <c r="E23" s="90" t="s">
        <v>428</v>
      </c>
      <c r="F23" s="90" t="s">
        <v>429</v>
      </c>
      <c r="G23" s="104" t="s">
        <v>430</v>
      </c>
      <c r="H23" s="104" t="s">
        <v>431</v>
      </c>
    </row>
    <row r="24" spans="2:8" ht="80" x14ac:dyDescent="0.2">
      <c r="B24" s="189" t="s">
        <v>172</v>
      </c>
      <c r="C24" s="119" t="s">
        <v>189</v>
      </c>
      <c r="D24" s="94" t="s">
        <v>190</v>
      </c>
      <c r="E24" s="94" t="s">
        <v>191</v>
      </c>
      <c r="F24" s="94" t="s">
        <v>192</v>
      </c>
      <c r="G24" s="94"/>
      <c r="H24" s="94"/>
    </row>
    <row r="25" spans="2:8" ht="48" x14ac:dyDescent="0.2">
      <c r="B25" s="190"/>
      <c r="C25" s="119" t="s">
        <v>199</v>
      </c>
      <c r="D25" s="94"/>
      <c r="E25" s="94" t="s">
        <v>215</v>
      </c>
      <c r="F25" s="94" t="s">
        <v>216</v>
      </c>
      <c r="G25" s="102"/>
      <c r="H25" s="103"/>
    </row>
    <row r="26" spans="2:8" ht="32" x14ac:dyDescent="0.2">
      <c r="B26" s="191"/>
      <c r="C26" s="120" t="s">
        <v>217</v>
      </c>
      <c r="D26" s="96"/>
      <c r="E26" s="96" t="s">
        <v>218</v>
      </c>
      <c r="F26" s="96" t="s">
        <v>219</v>
      </c>
      <c r="G26" s="17"/>
      <c r="H26" s="103"/>
    </row>
    <row r="27" spans="2:8" x14ac:dyDescent="0.2">
      <c r="B27" s="182" t="s">
        <v>220</v>
      </c>
      <c r="C27" s="194" t="s">
        <v>221</v>
      </c>
      <c r="D27" s="185" t="s">
        <v>237</v>
      </c>
      <c r="E27" s="185" t="s">
        <v>238</v>
      </c>
      <c r="F27" s="185" t="s">
        <v>239</v>
      </c>
      <c r="G27" s="178"/>
      <c r="H27" s="177"/>
    </row>
    <row r="28" spans="2:8" x14ac:dyDescent="0.2">
      <c r="B28" s="182"/>
      <c r="C28" s="194"/>
      <c r="D28" s="186"/>
      <c r="E28" s="186"/>
      <c r="F28" s="186"/>
      <c r="G28" s="179"/>
      <c r="H28" s="177"/>
    </row>
    <row r="29" spans="2:8" ht="31" customHeight="1" x14ac:dyDescent="0.2">
      <c r="B29" s="182"/>
      <c r="C29" s="194"/>
      <c r="D29" s="187"/>
      <c r="E29" s="187"/>
      <c r="F29" s="187"/>
      <c r="G29" s="180"/>
      <c r="H29" s="177"/>
    </row>
    <row r="30" spans="2:8" x14ac:dyDescent="0.2">
      <c r="B30" s="182"/>
      <c r="C30" s="192" t="s">
        <v>241</v>
      </c>
      <c r="D30" s="185"/>
      <c r="E30" s="185" t="s">
        <v>250</v>
      </c>
      <c r="F30" s="185" t="s">
        <v>251</v>
      </c>
      <c r="G30" s="178"/>
      <c r="H30" s="177"/>
    </row>
    <row r="31" spans="2:8" x14ac:dyDescent="0.2">
      <c r="B31" s="182"/>
      <c r="C31" s="192"/>
      <c r="D31" s="187"/>
      <c r="E31" s="187"/>
      <c r="F31" s="187"/>
      <c r="G31" s="180"/>
      <c r="H31" s="177"/>
    </row>
    <row r="32" spans="2:8" ht="19.5" customHeight="1" x14ac:dyDescent="0.2">
      <c r="B32" s="181" t="s">
        <v>252</v>
      </c>
      <c r="C32" s="193" t="s">
        <v>253</v>
      </c>
      <c r="D32" s="185" t="s">
        <v>268</v>
      </c>
      <c r="E32" s="185" t="s">
        <v>269</v>
      </c>
      <c r="F32" s="185" t="s">
        <v>270</v>
      </c>
      <c r="G32" s="178"/>
      <c r="H32" s="177"/>
    </row>
    <row r="33" spans="2:8" ht="19.5" customHeight="1" x14ac:dyDescent="0.2">
      <c r="B33" s="181"/>
      <c r="C33" s="193"/>
      <c r="D33" s="186"/>
      <c r="E33" s="186"/>
      <c r="F33" s="186"/>
      <c r="G33" s="179"/>
      <c r="H33" s="177"/>
    </row>
    <row r="34" spans="2:8" ht="19.5" customHeight="1" x14ac:dyDescent="0.2">
      <c r="B34" s="181"/>
      <c r="C34" s="193"/>
      <c r="D34" s="187"/>
      <c r="E34" s="187"/>
      <c r="F34" s="187"/>
      <c r="G34" s="180"/>
      <c r="H34" s="177"/>
    </row>
    <row r="35" spans="2:8" x14ac:dyDescent="0.2">
      <c r="B35" s="181"/>
      <c r="C35" s="192" t="s">
        <v>273</v>
      </c>
      <c r="D35" s="185"/>
      <c r="E35" s="185" t="s">
        <v>287</v>
      </c>
      <c r="F35" s="185" t="s">
        <v>288</v>
      </c>
      <c r="G35" s="178"/>
      <c r="H35" s="177"/>
    </row>
    <row r="36" spans="2:8" x14ac:dyDescent="0.2">
      <c r="B36" s="181"/>
      <c r="C36" s="192"/>
      <c r="D36" s="186"/>
      <c r="E36" s="186"/>
      <c r="F36" s="186"/>
      <c r="G36" s="179"/>
      <c r="H36" s="177"/>
    </row>
    <row r="37" spans="2:8" x14ac:dyDescent="0.2">
      <c r="B37" s="181"/>
      <c r="C37" s="192"/>
      <c r="D37" s="187"/>
      <c r="E37" s="187"/>
      <c r="F37" s="187"/>
      <c r="G37" s="180"/>
      <c r="H37" s="177"/>
    </row>
    <row r="38" spans="2:8" ht="48" x14ac:dyDescent="0.2">
      <c r="B38" s="85" t="s">
        <v>292</v>
      </c>
      <c r="C38" s="121" t="s">
        <v>293</v>
      </c>
      <c r="D38" s="94" t="s">
        <v>309</v>
      </c>
      <c r="E38" s="94" t="s">
        <v>310</v>
      </c>
      <c r="F38" s="94" t="s">
        <v>311</v>
      </c>
      <c r="G38" s="95"/>
      <c r="H38" s="94"/>
    </row>
    <row r="39" spans="2:8" ht="61.5" customHeight="1" x14ac:dyDescent="0.2">
      <c r="B39" s="189" t="s">
        <v>312</v>
      </c>
      <c r="C39" s="119" t="s">
        <v>313</v>
      </c>
      <c r="D39" s="94" t="s">
        <v>329</v>
      </c>
      <c r="E39" s="94" t="s">
        <v>330</v>
      </c>
      <c r="F39" s="94" t="s">
        <v>331</v>
      </c>
      <c r="G39" s="95"/>
      <c r="H39" s="94"/>
    </row>
    <row r="40" spans="2:8" ht="90.75" customHeight="1" x14ac:dyDescent="0.2">
      <c r="B40" s="190"/>
      <c r="C40" s="119" t="s">
        <v>332</v>
      </c>
      <c r="D40" s="94" t="s">
        <v>341</v>
      </c>
      <c r="E40" s="94"/>
      <c r="F40" s="94"/>
      <c r="G40" s="95"/>
      <c r="H40" s="94"/>
    </row>
    <row r="41" spans="2:8" ht="51.75" customHeight="1" x14ac:dyDescent="0.2">
      <c r="B41" s="191"/>
      <c r="C41" s="119" t="s">
        <v>343</v>
      </c>
      <c r="D41" s="94" t="s">
        <v>344</v>
      </c>
      <c r="E41" s="109" t="s">
        <v>345</v>
      </c>
      <c r="F41" s="94" t="s">
        <v>346</v>
      </c>
      <c r="G41" s="95"/>
      <c r="H41" s="94"/>
    </row>
    <row r="42" spans="2:8" ht="48" x14ac:dyDescent="0.2">
      <c r="B42" s="85" t="s">
        <v>347</v>
      </c>
      <c r="C42" s="120" t="s">
        <v>360</v>
      </c>
      <c r="D42" s="94" t="s">
        <v>361</v>
      </c>
      <c r="E42" s="94" t="s">
        <v>362</v>
      </c>
      <c r="F42" s="94" t="s">
        <v>363</v>
      </c>
      <c r="G42" s="94"/>
      <c r="H42" s="94"/>
    </row>
    <row r="43" spans="2:8" x14ac:dyDescent="0.2">
      <c r="B43" s="184" t="s">
        <v>364</v>
      </c>
      <c r="C43" s="192" t="s">
        <v>365</v>
      </c>
      <c r="D43" s="185"/>
      <c r="E43" s="185" t="s">
        <v>374</v>
      </c>
      <c r="F43" s="185" t="s">
        <v>375</v>
      </c>
      <c r="G43" s="178"/>
      <c r="H43" s="177"/>
    </row>
    <row r="44" spans="2:8" x14ac:dyDescent="0.2">
      <c r="B44" s="184"/>
      <c r="C44" s="192"/>
      <c r="D44" s="186"/>
      <c r="E44" s="186"/>
      <c r="F44" s="186"/>
      <c r="G44" s="179"/>
      <c r="H44" s="177"/>
    </row>
    <row r="45" spans="2:8" x14ac:dyDescent="0.2">
      <c r="B45" s="184"/>
      <c r="C45" s="192"/>
      <c r="D45" s="186"/>
      <c r="E45" s="186"/>
      <c r="F45" s="186"/>
      <c r="G45" s="179"/>
      <c r="H45" s="177"/>
    </row>
    <row r="46" spans="2:8" x14ac:dyDescent="0.2">
      <c r="B46" s="184"/>
      <c r="C46" s="192"/>
      <c r="D46" s="187"/>
      <c r="E46" s="187"/>
      <c r="F46" s="187"/>
      <c r="G46" s="180"/>
      <c r="H46" s="177"/>
    </row>
    <row r="47" spans="2:8" x14ac:dyDescent="0.2">
      <c r="B47" s="91"/>
      <c r="C47" s="91"/>
      <c r="D47" s="44"/>
      <c r="E47" s="44"/>
      <c r="F47" s="44"/>
    </row>
    <row r="49" spans="2:5" x14ac:dyDescent="0.2">
      <c r="B49" s="75" t="s">
        <v>465</v>
      </c>
      <c r="C49" t="s">
        <v>504</v>
      </c>
      <c r="D49" s="82" t="s">
        <v>505</v>
      </c>
    </row>
    <row r="50" spans="2:5" x14ac:dyDescent="0.2">
      <c r="C50" t="s">
        <v>506</v>
      </c>
      <c r="D50" s="82" t="s">
        <v>507</v>
      </c>
    </row>
    <row r="52" spans="2:5" x14ac:dyDescent="0.2">
      <c r="B52" s="75" t="s">
        <v>468</v>
      </c>
      <c r="C52" t="s">
        <v>508</v>
      </c>
    </row>
    <row r="53" spans="2:5" ht="48" x14ac:dyDescent="0.2">
      <c r="B53" s="83"/>
      <c r="C53" s="89" t="s">
        <v>509</v>
      </c>
      <c r="D53" s="89" t="s">
        <v>510</v>
      </c>
      <c r="E53" s="89" t="s">
        <v>511</v>
      </c>
    </row>
    <row r="54" spans="2:5" ht="48" x14ac:dyDescent="0.2">
      <c r="B54" s="98" t="s">
        <v>405</v>
      </c>
      <c r="C54" s="94" t="s">
        <v>512</v>
      </c>
      <c r="D54" s="94" t="s">
        <v>513</v>
      </c>
      <c r="E54" s="94" t="s">
        <v>514</v>
      </c>
    </row>
    <row r="55" spans="2:5" ht="49.5" customHeight="1" x14ac:dyDescent="0.2">
      <c r="B55" s="98" t="s">
        <v>411</v>
      </c>
      <c r="C55" s="94" t="s">
        <v>515</v>
      </c>
      <c r="D55" s="94" t="s">
        <v>516</v>
      </c>
      <c r="E55" s="94" t="s">
        <v>517</v>
      </c>
    </row>
    <row r="56" spans="2:5" ht="48" x14ac:dyDescent="0.2">
      <c r="B56" s="98" t="s">
        <v>417</v>
      </c>
      <c r="C56" s="94" t="s">
        <v>518</v>
      </c>
      <c r="D56" s="94" t="s">
        <v>519</v>
      </c>
      <c r="E56" s="94" t="s">
        <v>520</v>
      </c>
    </row>
  </sheetData>
  <mergeCells count="36">
    <mergeCell ref="C13:F13"/>
    <mergeCell ref="B27:B31"/>
    <mergeCell ref="C27:C29"/>
    <mergeCell ref="D27:D29"/>
    <mergeCell ref="E27:E29"/>
    <mergeCell ref="F27:F29"/>
    <mergeCell ref="G32:G34"/>
    <mergeCell ref="G27:G29"/>
    <mergeCell ref="H27:H29"/>
    <mergeCell ref="C30:C31"/>
    <mergeCell ref="D30:D31"/>
    <mergeCell ref="E30:E31"/>
    <mergeCell ref="F30:F31"/>
    <mergeCell ref="G30:G31"/>
    <mergeCell ref="H30:H31"/>
    <mergeCell ref="B32:B37"/>
    <mergeCell ref="C32:C34"/>
    <mergeCell ref="D32:D34"/>
    <mergeCell ref="E32:E34"/>
    <mergeCell ref="F32:F34"/>
    <mergeCell ref="G43:G46"/>
    <mergeCell ref="H43:H46"/>
    <mergeCell ref="B24:B26"/>
    <mergeCell ref="B39:B41"/>
    <mergeCell ref="B43:B46"/>
    <mergeCell ref="C43:C46"/>
    <mergeCell ref="D43:D46"/>
    <mergeCell ref="E43:E46"/>
    <mergeCell ref="F43:F46"/>
    <mergeCell ref="H32:H34"/>
    <mergeCell ref="C35:C37"/>
    <mergeCell ref="D35:D37"/>
    <mergeCell ref="E35:E37"/>
    <mergeCell ref="F35:F37"/>
    <mergeCell ref="G35:G37"/>
    <mergeCell ref="H35:H37"/>
  </mergeCells>
  <hyperlinks>
    <hyperlink ref="D7" r:id="rId1" xr:uid="{B852BEA4-BC3B-5E4F-B3CA-94F0157084D1}"/>
    <hyperlink ref="D8" r:id="rId2" xr:uid="{ACB0823C-94C8-C14D-8D57-15D4555C7CD2}"/>
    <hyperlink ref="D9" r:id="rId3" xr:uid="{5BBED3B7-63D9-8A43-8C7E-2577C1894909}"/>
    <hyperlink ref="D10" r:id="rId4" xr:uid="{4CC1D599-1B5F-9A4E-BB64-A0E3A30313EE}"/>
    <hyperlink ref="D50" r:id="rId5" xr:uid="{A2CA7695-DE60-7C45-97AD-67438C388B3D}"/>
    <hyperlink ref="D49" r:id="rId6" xr:uid="{5D63EA02-2488-364C-995A-15CDE995799B}"/>
    <hyperlink ref="D6" r:id="rId7" xr:uid="{797AE3BF-ED73-3D48-A3E4-FEF66F5979D9}"/>
    <hyperlink ref="D5" r:id="rId8" xr:uid="{AAA4A719-1B10-F84D-AB03-9E0671906983}"/>
    <hyperlink ref="E41" r:id="rId9" display="https://365grupoentero.sharepoint.com/:p:/s/fascinaciondeclientes/EbkDk6jlylhAsTHYHMvbSEUBhIFoGe7IPi51tsTRhPwRQA?e=9A2IJC" xr:uid="{EC74729E-BD01-4B10-BA4C-D7CDDB3F30CC}"/>
  </hyperlinks>
  <pageMargins left="0.7" right="0.7" top="0.75" bottom="0.75" header="0.3" footer="0.3"/>
  <legacyDrawing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D0F8-6356-4246-B2FB-3BF8A6A528DA}">
  <dimension ref="B5:F16"/>
  <sheetViews>
    <sheetView topLeftCell="A3" workbookViewId="0">
      <selection activeCell="A13" sqref="A13"/>
    </sheetView>
  </sheetViews>
  <sheetFormatPr baseColWidth="10" defaultColWidth="9.1640625" defaultRowHeight="15" x14ac:dyDescent="0.2"/>
  <cols>
    <col min="1" max="1" width="9.1640625" style="134"/>
    <col min="2" max="2" width="5" style="134" bestFit="1" customWidth="1"/>
    <col min="3" max="3" width="32" style="134" bestFit="1" customWidth="1"/>
    <col min="4" max="4" width="48.5" style="134" customWidth="1"/>
    <col min="5" max="16384" width="9.1640625" style="134"/>
  </cols>
  <sheetData>
    <row r="5" spans="2:6" x14ac:dyDescent="0.2">
      <c r="B5" s="195" t="s">
        <v>521</v>
      </c>
      <c r="C5" s="138" t="s">
        <v>522</v>
      </c>
      <c r="D5" s="135" t="s">
        <v>523</v>
      </c>
    </row>
    <row r="6" spans="2:6" x14ac:dyDescent="0.2">
      <c r="B6" s="196"/>
      <c r="C6" s="138" t="s">
        <v>524</v>
      </c>
      <c r="D6" s="135" t="s">
        <v>525</v>
      </c>
      <c r="F6" s="134" t="s">
        <v>526</v>
      </c>
    </row>
    <row r="7" spans="2:6" ht="26" x14ac:dyDescent="0.2">
      <c r="B7" s="196"/>
      <c r="C7" s="138" t="s">
        <v>527</v>
      </c>
      <c r="D7" s="135" t="s">
        <v>528</v>
      </c>
      <c r="F7" s="134" t="s">
        <v>529</v>
      </c>
    </row>
    <row r="8" spans="2:6" ht="26" x14ac:dyDescent="0.2">
      <c r="B8" s="196"/>
      <c r="C8" s="140" t="s">
        <v>530</v>
      </c>
      <c r="D8" s="135" t="s">
        <v>531</v>
      </c>
      <c r="F8" s="134" t="s">
        <v>532</v>
      </c>
    </row>
    <row r="9" spans="2:6" x14ac:dyDescent="0.2">
      <c r="B9" s="196"/>
      <c r="C9" s="140" t="s">
        <v>533</v>
      </c>
      <c r="D9" s="135" t="s">
        <v>534</v>
      </c>
      <c r="F9" s="134" t="s">
        <v>535</v>
      </c>
    </row>
    <row r="10" spans="2:6" ht="26" x14ac:dyDescent="0.2">
      <c r="B10" s="196"/>
      <c r="C10" s="140" t="s">
        <v>536</v>
      </c>
      <c r="D10" s="135" t="s">
        <v>537</v>
      </c>
      <c r="F10" s="134" t="s">
        <v>538</v>
      </c>
    </row>
    <row r="11" spans="2:6" x14ac:dyDescent="0.2">
      <c r="B11" s="196"/>
      <c r="C11" s="140" t="s">
        <v>539</v>
      </c>
      <c r="D11" s="135" t="s">
        <v>540</v>
      </c>
      <c r="F11" s="134" t="s">
        <v>541</v>
      </c>
    </row>
    <row r="12" spans="2:6" ht="26" x14ac:dyDescent="0.2">
      <c r="B12" s="196"/>
      <c r="C12" s="140" t="s">
        <v>542</v>
      </c>
      <c r="D12" s="135" t="s">
        <v>543</v>
      </c>
    </row>
    <row r="13" spans="2:6" x14ac:dyDescent="0.2">
      <c r="B13" s="195" t="s">
        <v>63</v>
      </c>
      <c r="C13" s="139" t="s">
        <v>12</v>
      </c>
      <c r="D13" s="135" t="s">
        <v>544</v>
      </c>
    </row>
    <row r="14" spans="2:6" ht="26" x14ac:dyDescent="0.2">
      <c r="B14" s="196"/>
      <c r="C14" s="139" t="s">
        <v>545</v>
      </c>
      <c r="D14" s="135" t="s">
        <v>546</v>
      </c>
    </row>
    <row r="15" spans="2:6" x14ac:dyDescent="0.2">
      <c r="B15" s="196"/>
      <c r="C15" s="139" t="s">
        <v>547</v>
      </c>
      <c r="D15" s="135" t="s">
        <v>548</v>
      </c>
    </row>
    <row r="16" spans="2:6" ht="26" x14ac:dyDescent="0.2">
      <c r="B16" s="197"/>
      <c r="C16" s="139" t="s">
        <v>549</v>
      </c>
      <c r="D16" s="135" t="s">
        <v>550</v>
      </c>
    </row>
  </sheetData>
  <mergeCells count="2">
    <mergeCell ref="B5:B12"/>
    <mergeCell ref="B13:B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8FA6-0F0A-43A7-AFB5-C04970CCF4B4}">
  <dimension ref="A2:Y34"/>
  <sheetViews>
    <sheetView showGridLines="0" zoomScale="70" zoomScaleNormal="70" workbookViewId="0">
      <selection activeCell="F25" sqref="F25"/>
    </sheetView>
  </sheetViews>
  <sheetFormatPr baseColWidth="10" defaultColWidth="9.1640625" defaultRowHeight="15" customHeight="1" x14ac:dyDescent="0.2"/>
  <cols>
    <col min="1" max="1" width="51.5" customWidth="1"/>
    <col min="2" max="2" width="11.5" customWidth="1"/>
    <col min="3" max="3" width="13.5" customWidth="1"/>
    <col min="4" max="4" width="11.5" customWidth="1"/>
    <col min="5" max="5" width="12.1640625" customWidth="1"/>
    <col min="6" max="6" width="3.5" customWidth="1"/>
    <col min="7" max="16" width="10.5" customWidth="1"/>
  </cols>
  <sheetData>
    <row r="2" spans="1:25" ht="19" x14ac:dyDescent="0.25">
      <c r="A2" s="122" t="s">
        <v>551</v>
      </c>
    </row>
    <row r="3" spans="1:25" x14ac:dyDescent="0.2"/>
    <row r="4" spans="1:25" ht="17" thickBot="1" x14ac:dyDescent="0.25">
      <c r="A4" s="10" t="s">
        <v>552</v>
      </c>
      <c r="B4" s="3"/>
      <c r="C4" s="124" t="s">
        <v>553</v>
      </c>
      <c r="D4" s="124" t="s">
        <v>554</v>
      </c>
      <c r="E4" s="124" t="s">
        <v>49</v>
      </c>
      <c r="G4" s="12" t="s">
        <v>555</v>
      </c>
      <c r="H4" s="12" t="s">
        <v>556</v>
      </c>
      <c r="I4" s="12" t="s">
        <v>557</v>
      </c>
      <c r="J4" s="12" t="s">
        <v>558</v>
      </c>
      <c r="K4" s="12" t="s">
        <v>50</v>
      </c>
      <c r="L4" s="12" t="s">
        <v>3</v>
      </c>
      <c r="M4" s="12" t="s">
        <v>559</v>
      </c>
      <c r="N4" s="12" t="s">
        <v>560</v>
      </c>
      <c r="O4" s="12" t="s">
        <v>1</v>
      </c>
      <c r="Q4" s="124" t="s">
        <v>561</v>
      </c>
      <c r="R4" s="124"/>
      <c r="S4" s="124"/>
      <c r="T4" s="124"/>
      <c r="U4" s="124"/>
      <c r="V4" s="124"/>
      <c r="W4" s="124"/>
      <c r="X4" s="124"/>
      <c r="Y4" s="124"/>
    </row>
    <row r="5" spans="1:25" ht="17" thickTop="1" x14ac:dyDescent="0.2">
      <c r="A5" s="127" t="s">
        <v>562</v>
      </c>
      <c r="B5" s="7"/>
      <c r="C5" s="128">
        <v>9</v>
      </c>
      <c r="D5" s="32">
        <f>SUM(G5:O5)</f>
        <v>21</v>
      </c>
      <c r="E5" s="33">
        <f>IF(D5&gt;C5,1,IFERROR(D5/C5,""))</f>
        <v>1</v>
      </c>
      <c r="F5" s="7"/>
      <c r="G5" s="13">
        <v>1</v>
      </c>
      <c r="H5" s="13">
        <v>13</v>
      </c>
      <c r="I5" s="13">
        <v>2</v>
      </c>
      <c r="J5" s="13"/>
      <c r="K5" s="132"/>
      <c r="L5" s="13">
        <v>2</v>
      </c>
      <c r="M5" s="13">
        <v>3</v>
      </c>
      <c r="N5" s="13"/>
      <c r="O5" s="132"/>
    </row>
    <row r="6" spans="1:25" ht="16" x14ac:dyDescent="0.2">
      <c r="A6" s="127" t="s">
        <v>563</v>
      </c>
      <c r="B6" s="7"/>
      <c r="C6" s="128">
        <v>9</v>
      </c>
      <c r="D6" s="32">
        <f>SUM(G6:O6)</f>
        <v>5</v>
      </c>
      <c r="E6" s="33">
        <f>IF(D6&gt;C6,1,IFERROR(D6/C6,""))</f>
        <v>0.55555555555555558</v>
      </c>
      <c r="F6" s="7"/>
      <c r="G6" s="13"/>
      <c r="H6" s="13">
        <v>2</v>
      </c>
      <c r="I6" s="13">
        <v>1</v>
      </c>
      <c r="J6" s="13"/>
      <c r="K6" s="132"/>
      <c r="L6" s="13">
        <v>2</v>
      </c>
      <c r="M6" s="13"/>
      <c r="N6" s="13"/>
      <c r="O6" s="132"/>
    </row>
    <row r="7" spans="1:25" ht="16" x14ac:dyDescent="0.2">
      <c r="A7" s="127"/>
      <c r="C7" s="128">
        <v>8</v>
      </c>
      <c r="D7" s="32">
        <f>SUM(G7:O7)</f>
        <v>0</v>
      </c>
      <c r="E7" s="33">
        <f>IF(D7&gt;C7,1,IFERROR(D7/C7,""))</f>
        <v>0</v>
      </c>
      <c r="G7" s="136"/>
      <c r="H7" s="136"/>
      <c r="I7" s="136"/>
      <c r="J7" s="13"/>
      <c r="K7" s="132"/>
      <c r="L7" s="13"/>
      <c r="M7" s="13"/>
      <c r="N7" s="13"/>
      <c r="O7" s="132"/>
      <c r="Q7" s="125"/>
    </row>
    <row r="8" spans="1:25" ht="16" x14ac:dyDescent="0.2">
      <c r="A8" s="127"/>
      <c r="B8" s="7"/>
      <c r="C8" s="128">
        <v>8</v>
      </c>
      <c r="D8" s="32">
        <f>SUM(G8:O8)</f>
        <v>0</v>
      </c>
      <c r="E8" s="33">
        <f>IF(D8&gt;C8,1,IFERROR(D8/C8,""))</f>
        <v>0</v>
      </c>
      <c r="F8" s="7"/>
      <c r="G8" s="13"/>
      <c r="H8" s="13"/>
      <c r="I8" s="13"/>
      <c r="J8" s="13"/>
      <c r="K8" s="132"/>
      <c r="L8" s="13"/>
      <c r="M8" s="13"/>
      <c r="N8" s="13"/>
      <c r="O8" s="132"/>
    </row>
    <row r="9" spans="1:25" ht="16" x14ac:dyDescent="0.2">
      <c r="C9" s="123"/>
      <c r="R9" s="76"/>
    </row>
    <row r="10" spans="1:25" ht="17" thickBot="1" x14ac:dyDescent="0.25">
      <c r="A10" s="10" t="s">
        <v>564</v>
      </c>
      <c r="B10" s="3"/>
      <c r="C10" s="124" t="s">
        <v>553</v>
      </c>
      <c r="D10" s="124" t="s">
        <v>554</v>
      </c>
      <c r="E10" s="124" t="s">
        <v>49</v>
      </c>
      <c r="G10" s="12" t="s">
        <v>555</v>
      </c>
      <c r="H10" s="12" t="s">
        <v>556</v>
      </c>
      <c r="I10" s="12" t="s">
        <v>557</v>
      </c>
      <c r="J10" s="12" t="s">
        <v>558</v>
      </c>
      <c r="K10" s="12" t="s">
        <v>50</v>
      </c>
      <c r="L10" s="12" t="s">
        <v>3</v>
      </c>
      <c r="M10" s="12" t="s">
        <v>559</v>
      </c>
      <c r="N10" s="12" t="s">
        <v>560</v>
      </c>
      <c r="O10" s="12" t="s">
        <v>1</v>
      </c>
      <c r="P10" s="12"/>
      <c r="Q10" s="76"/>
      <c r="R10" s="76"/>
    </row>
    <row r="11" spans="1:25" ht="17" thickTop="1" x14ac:dyDescent="0.2">
      <c r="A11" s="76" t="s">
        <v>565</v>
      </c>
      <c r="C11" s="130">
        <v>6</v>
      </c>
      <c r="D11" s="13">
        <f t="shared" ref="D11:D16" si="0">COUNTIF(G11:O11,"X")</f>
        <v>0</v>
      </c>
      <c r="E11" s="33">
        <f t="shared" ref="E11:E15" si="1">IF(D11&gt;C11,1,IFERROR(D11/C11,""))</f>
        <v>0</v>
      </c>
      <c r="G11" s="13"/>
      <c r="H11" s="13"/>
      <c r="I11" s="13"/>
      <c r="J11" s="13"/>
      <c r="K11" s="132"/>
      <c r="L11" s="13"/>
      <c r="M11" s="132"/>
      <c r="N11" s="132"/>
      <c r="O11" s="132"/>
      <c r="P11" s="132"/>
      <c r="R11" s="76"/>
    </row>
    <row r="12" spans="1:25" ht="16" x14ac:dyDescent="0.2">
      <c r="A12" s="76" t="s">
        <v>566</v>
      </c>
      <c r="C12" s="130">
        <v>5</v>
      </c>
      <c r="D12" s="13">
        <f t="shared" si="0"/>
        <v>5</v>
      </c>
      <c r="E12" s="33">
        <f t="shared" si="1"/>
        <v>1</v>
      </c>
      <c r="G12" s="13" t="s">
        <v>110</v>
      </c>
      <c r="H12" s="13" t="s">
        <v>110</v>
      </c>
      <c r="I12" s="13" t="s">
        <v>110</v>
      </c>
      <c r="J12" s="13" t="s">
        <v>53</v>
      </c>
      <c r="K12" s="132"/>
      <c r="L12" s="13" t="s">
        <v>110</v>
      </c>
      <c r="M12" s="132"/>
      <c r="N12" s="132"/>
      <c r="O12" s="132"/>
      <c r="P12" s="132"/>
      <c r="R12" s="76"/>
    </row>
    <row r="13" spans="1:25" ht="16" x14ac:dyDescent="0.2">
      <c r="A13" s="76" t="s">
        <v>567</v>
      </c>
      <c r="C13" s="130">
        <v>5</v>
      </c>
      <c r="D13" s="13">
        <f t="shared" si="0"/>
        <v>4</v>
      </c>
      <c r="E13" s="33">
        <f t="shared" si="1"/>
        <v>0.8</v>
      </c>
      <c r="G13" s="13" t="s">
        <v>53</v>
      </c>
      <c r="H13" s="13" t="s">
        <v>110</v>
      </c>
      <c r="I13" s="13" t="s">
        <v>53</v>
      </c>
      <c r="J13" s="13" t="s">
        <v>53</v>
      </c>
      <c r="K13" s="132"/>
      <c r="L13" s="13"/>
      <c r="M13" s="132"/>
      <c r="N13" s="132"/>
      <c r="O13" s="132"/>
      <c r="P13" s="132"/>
      <c r="R13" s="76"/>
    </row>
    <row r="14" spans="1:25" ht="16" x14ac:dyDescent="0.2">
      <c r="A14" s="76" t="s">
        <v>568</v>
      </c>
      <c r="C14" s="130">
        <v>5</v>
      </c>
      <c r="D14" s="13">
        <f t="shared" si="0"/>
        <v>4</v>
      </c>
      <c r="E14" s="33">
        <f t="shared" si="1"/>
        <v>0.8</v>
      </c>
      <c r="G14" s="13" t="s">
        <v>110</v>
      </c>
      <c r="H14" s="13" t="s">
        <v>110</v>
      </c>
      <c r="I14" s="13" t="s">
        <v>110</v>
      </c>
      <c r="J14" s="13" t="s">
        <v>53</v>
      </c>
      <c r="K14" s="132"/>
      <c r="L14" s="13"/>
      <c r="M14" s="132"/>
      <c r="N14" s="132"/>
      <c r="O14" s="132"/>
      <c r="P14" s="132"/>
      <c r="Q14" s="125"/>
      <c r="R14" s="76"/>
    </row>
    <row r="15" spans="1:25" ht="16" x14ac:dyDescent="0.2">
      <c r="A15" s="76" t="s">
        <v>569</v>
      </c>
      <c r="C15" s="130">
        <v>5</v>
      </c>
      <c r="D15" s="13">
        <f t="shared" si="0"/>
        <v>2</v>
      </c>
      <c r="E15" s="33">
        <f t="shared" si="1"/>
        <v>0.4</v>
      </c>
      <c r="G15" s="13" t="s">
        <v>53</v>
      </c>
      <c r="H15" s="13" t="s">
        <v>53</v>
      </c>
      <c r="I15" s="13"/>
      <c r="J15" s="13"/>
      <c r="K15" s="132"/>
      <c r="L15" s="13"/>
      <c r="M15" s="132"/>
      <c r="N15" s="132"/>
      <c r="O15" s="132"/>
      <c r="P15" s="132"/>
      <c r="Q15" s="126"/>
      <c r="R15" s="76"/>
    </row>
    <row r="16" spans="1:25" ht="16" x14ac:dyDescent="0.2">
      <c r="A16" s="76" t="s">
        <v>570</v>
      </c>
      <c r="C16" s="130">
        <v>5</v>
      </c>
      <c r="D16" s="13">
        <f t="shared" si="0"/>
        <v>1</v>
      </c>
      <c r="E16" s="33">
        <f>IF(D16&gt;C16,1,IFERROR(D16/C16,""))</f>
        <v>0.2</v>
      </c>
      <c r="G16" s="13" t="s">
        <v>53</v>
      </c>
      <c r="H16" s="13"/>
      <c r="I16" s="13"/>
      <c r="J16" s="13"/>
      <c r="K16" s="132"/>
      <c r="L16" s="13"/>
      <c r="M16" s="132"/>
      <c r="N16" s="132"/>
      <c r="O16" s="132"/>
      <c r="P16" s="132"/>
      <c r="R16" s="7"/>
    </row>
    <row r="17" spans="1:17" x14ac:dyDescent="0.2"/>
    <row r="18" spans="1:17" ht="17" hidden="1" thickBot="1" x14ac:dyDescent="0.25">
      <c r="A18" s="78" t="s">
        <v>571</v>
      </c>
      <c r="B18" s="80"/>
      <c r="C18" s="124" t="s">
        <v>553</v>
      </c>
      <c r="D18" s="124" t="s">
        <v>554</v>
      </c>
      <c r="E18" s="124" t="s">
        <v>49</v>
      </c>
      <c r="G18" s="12"/>
      <c r="H18" s="12"/>
      <c r="I18" s="12"/>
      <c r="J18" s="12"/>
      <c r="K18" s="12"/>
      <c r="L18" s="12"/>
      <c r="M18" s="12"/>
      <c r="N18" s="12"/>
      <c r="O18" s="12"/>
    </row>
    <row r="19" spans="1:17" ht="16" hidden="1" x14ac:dyDescent="0.2">
      <c r="A19" s="76" t="s">
        <v>572</v>
      </c>
      <c r="C19" s="130">
        <v>3</v>
      </c>
      <c r="D19" s="13">
        <f>COUNTIF(G19:O19,"X")</f>
        <v>0</v>
      </c>
      <c r="E19" s="33">
        <f>IF(D19&gt;C19,1,IFERROR(D19/C19,""))</f>
        <v>0</v>
      </c>
      <c r="G19" s="13"/>
      <c r="H19" s="13"/>
      <c r="I19" s="13"/>
      <c r="J19" s="137"/>
      <c r="K19" s="137"/>
      <c r="L19" s="13"/>
      <c r="M19" s="13"/>
      <c r="N19" s="13"/>
      <c r="O19" s="13"/>
      <c r="Q19" s="126"/>
    </row>
    <row r="20" spans="1:17" ht="16" hidden="1" x14ac:dyDescent="0.2">
      <c r="A20" s="76" t="s">
        <v>573</v>
      </c>
      <c r="C20" s="130">
        <v>10</v>
      </c>
      <c r="D20" s="13">
        <f>COUNTIF(G20:O20,"X")</f>
        <v>0</v>
      </c>
      <c r="E20" s="33">
        <f>IF(D20&gt;C20,1,IFERROR(D20/C20,""))</f>
        <v>0</v>
      </c>
      <c r="G20" s="137"/>
      <c r="H20" s="137"/>
      <c r="I20" s="137"/>
      <c r="J20" s="137"/>
      <c r="K20" s="137"/>
      <c r="L20" s="137"/>
      <c r="M20" s="137"/>
      <c r="N20" s="137"/>
      <c r="O20" s="137"/>
    </row>
    <row r="21" spans="1:17" ht="16" hidden="1" x14ac:dyDescent="0.2">
      <c r="A21" s="76" t="s">
        <v>574</v>
      </c>
      <c r="C21" s="130">
        <v>10</v>
      </c>
      <c r="D21" s="13">
        <f>COUNTIF(G21:O21,"X")</f>
        <v>0</v>
      </c>
      <c r="E21" s="33">
        <f>IF(D21&gt;C21,1,IFERROR(D21/C21,""))</f>
        <v>0</v>
      </c>
      <c r="G21" s="137"/>
      <c r="H21" s="137"/>
      <c r="I21" s="137"/>
      <c r="J21" s="137"/>
      <c r="K21" s="137"/>
      <c r="L21" s="137"/>
      <c r="M21" s="137"/>
      <c r="N21" s="137"/>
      <c r="O21" s="137"/>
    </row>
    <row r="22" spans="1:17" ht="16" hidden="1" x14ac:dyDescent="0.2">
      <c r="A22" s="76"/>
      <c r="C22" s="130"/>
      <c r="D22" s="13"/>
      <c r="E22" s="13"/>
      <c r="G22" s="13"/>
      <c r="H22" s="13"/>
      <c r="I22" s="13"/>
      <c r="J22" s="13"/>
      <c r="K22" s="133"/>
      <c r="L22" s="13"/>
      <c r="M22" s="13"/>
      <c r="N22" s="13"/>
      <c r="O22" s="13"/>
    </row>
    <row r="23" spans="1:17" ht="16" hidden="1" x14ac:dyDescent="0.2">
      <c r="A23" s="127"/>
      <c r="C23" s="130"/>
      <c r="D23" s="13"/>
      <c r="E23" s="13"/>
      <c r="G23" s="13"/>
      <c r="H23" s="13"/>
      <c r="I23" s="13"/>
      <c r="J23" s="13"/>
      <c r="K23" s="133"/>
      <c r="L23" s="13"/>
      <c r="M23" s="13"/>
      <c r="N23" s="13"/>
      <c r="O23" s="13"/>
      <c r="Q23" s="126"/>
    </row>
    <row r="24" spans="1:17" ht="16" x14ac:dyDescent="0.2">
      <c r="A24" s="127"/>
      <c r="C24" s="127"/>
      <c r="G24" s="129"/>
      <c r="M24" s="118"/>
      <c r="N24" s="118"/>
    </row>
    <row r="25" spans="1:17" ht="16" x14ac:dyDescent="0.2">
      <c r="A25" s="7"/>
      <c r="M25" s="118"/>
      <c r="N25" s="118"/>
    </row>
    <row r="26" spans="1:17" ht="17" thickBot="1" x14ac:dyDescent="0.25">
      <c r="A26" s="78" t="s">
        <v>575</v>
      </c>
      <c r="B26" s="80"/>
      <c r="C26" s="124" t="s">
        <v>553</v>
      </c>
      <c r="D26" s="124" t="s">
        <v>554</v>
      </c>
      <c r="E26" s="124" t="s">
        <v>49</v>
      </c>
      <c r="G26" s="12" t="s">
        <v>555</v>
      </c>
      <c r="H26" s="12" t="s">
        <v>556</v>
      </c>
      <c r="I26" s="12" t="s">
        <v>557</v>
      </c>
      <c r="J26" s="12" t="s">
        <v>558</v>
      </c>
      <c r="K26" s="12" t="s">
        <v>50</v>
      </c>
      <c r="L26" s="12" t="s">
        <v>3</v>
      </c>
      <c r="M26" s="12" t="s">
        <v>559</v>
      </c>
      <c r="N26" s="12" t="s">
        <v>560</v>
      </c>
      <c r="O26" s="12" t="s">
        <v>1</v>
      </c>
    </row>
    <row r="27" spans="1:17" ht="17" thickTop="1" x14ac:dyDescent="0.2">
      <c r="A27" s="127" t="s">
        <v>576</v>
      </c>
      <c r="C27" s="130">
        <v>5</v>
      </c>
      <c r="D27" s="13">
        <f t="shared" ref="D27:D33" si="2">COUNTIF(G27:O27,"X")</f>
        <v>2</v>
      </c>
      <c r="E27" s="33">
        <f>IF(D27&gt;C27,1,IFERROR(D27/C27,""))</f>
        <v>0.4</v>
      </c>
      <c r="G27" s="13" t="s">
        <v>53</v>
      </c>
      <c r="H27" s="13" t="s">
        <v>53</v>
      </c>
      <c r="I27" s="13"/>
      <c r="J27" s="13"/>
      <c r="K27" s="132"/>
      <c r="L27" s="13"/>
      <c r="M27" s="13"/>
      <c r="N27" s="13"/>
      <c r="O27" s="132"/>
      <c r="Q27" s="126"/>
    </row>
    <row r="28" spans="1:17" ht="16" x14ac:dyDescent="0.2">
      <c r="A28" s="127" t="s">
        <v>577</v>
      </c>
      <c r="C28" s="130">
        <v>4</v>
      </c>
      <c r="D28" s="13">
        <f t="shared" si="2"/>
        <v>2</v>
      </c>
      <c r="E28" s="33">
        <f>IF(D28&gt;C28,1,IFERROR(D28/C28,""))</f>
        <v>0.5</v>
      </c>
      <c r="G28" s="13" t="s">
        <v>53</v>
      </c>
      <c r="H28" s="13" t="s">
        <v>53</v>
      </c>
      <c r="I28" s="13"/>
      <c r="J28" s="13"/>
      <c r="K28" s="132"/>
      <c r="L28" s="13"/>
      <c r="M28" s="13"/>
      <c r="N28" s="13"/>
      <c r="O28" s="132"/>
      <c r="Q28" s="126"/>
    </row>
    <row r="29" spans="1:17" ht="17" x14ac:dyDescent="0.2">
      <c r="A29" s="131" t="s">
        <v>578</v>
      </c>
      <c r="C29" s="130">
        <v>5</v>
      </c>
      <c r="D29" s="13">
        <f t="shared" si="2"/>
        <v>0</v>
      </c>
      <c r="E29" s="33">
        <f>IF(D29&gt;C29,1,IFERROR(D29/C29,""))</f>
        <v>0</v>
      </c>
      <c r="G29" s="13"/>
      <c r="H29" s="13"/>
      <c r="I29" s="13"/>
      <c r="J29" s="13"/>
      <c r="K29" s="132"/>
      <c r="L29" s="13"/>
      <c r="M29" s="13"/>
      <c r="N29" s="13"/>
      <c r="O29" s="132"/>
      <c r="Q29" s="126"/>
    </row>
    <row r="30" spans="1:17" x14ac:dyDescent="0.2">
      <c r="C30" s="130">
        <v>3</v>
      </c>
      <c r="D30" s="13">
        <f t="shared" si="2"/>
        <v>0</v>
      </c>
      <c r="E30" s="33">
        <f>IF(D30&gt;C30,1,IFERROR(D30/C30,""))</f>
        <v>0</v>
      </c>
      <c r="G30" s="13"/>
      <c r="H30" s="13"/>
      <c r="I30" s="13"/>
      <c r="J30" s="13"/>
      <c r="K30" s="132"/>
      <c r="L30" s="13"/>
      <c r="M30" s="13"/>
      <c r="N30" s="13"/>
      <c r="O30" s="132"/>
    </row>
    <row r="31" spans="1:17" ht="16" x14ac:dyDescent="0.2">
      <c r="A31" s="127"/>
      <c r="C31" s="130">
        <v>6</v>
      </c>
      <c r="D31" s="13">
        <f t="shared" si="2"/>
        <v>0</v>
      </c>
      <c r="E31" s="33">
        <f t="shared" ref="E31:E33" si="3">IF(D31&gt;C31,1,IFERROR(D31/C31,""))</f>
        <v>0</v>
      </c>
      <c r="G31" s="13"/>
      <c r="H31" s="13"/>
      <c r="I31" s="13"/>
      <c r="J31" s="13"/>
      <c r="K31" s="132"/>
      <c r="L31" s="13"/>
      <c r="M31" s="13"/>
      <c r="N31" s="13"/>
      <c r="O31" s="132"/>
    </row>
    <row r="32" spans="1:17" ht="16" x14ac:dyDescent="0.2">
      <c r="A32" s="127"/>
      <c r="C32" s="130">
        <v>9</v>
      </c>
      <c r="D32" s="13">
        <f t="shared" si="2"/>
        <v>0</v>
      </c>
      <c r="E32" s="33">
        <f t="shared" si="3"/>
        <v>0</v>
      </c>
      <c r="G32" s="13"/>
      <c r="H32" s="13"/>
      <c r="I32" s="13"/>
      <c r="J32" s="13"/>
      <c r="K32" s="132"/>
      <c r="L32" s="13"/>
      <c r="M32" s="13"/>
      <c r="N32" s="13"/>
      <c r="O32" s="132"/>
    </row>
    <row r="33" spans="1:15" ht="16" x14ac:dyDescent="0.2">
      <c r="A33" s="127"/>
      <c r="C33" s="130">
        <v>1</v>
      </c>
      <c r="D33" s="13">
        <f t="shared" si="2"/>
        <v>0</v>
      </c>
      <c r="E33" s="33">
        <f t="shared" si="3"/>
        <v>0</v>
      </c>
      <c r="G33" s="13"/>
      <c r="H33" s="13"/>
      <c r="I33" s="13"/>
      <c r="J33" s="13"/>
      <c r="K33" s="132"/>
      <c r="L33" s="13"/>
      <c r="M33" s="13"/>
      <c r="N33" s="13"/>
      <c r="O33" s="132"/>
    </row>
    <row r="34" spans="1:15" x14ac:dyDescent="0.2"/>
  </sheetData>
  <conditionalFormatting sqref="E5:E8 E11:E16 E19:E21">
    <cfRule type="cellIs" dxfId="232" priority="19" operator="between">
      <formula>0</formula>
      <formula>0.64</formula>
    </cfRule>
    <cfRule type="cellIs" dxfId="231" priority="20" operator="between">
      <formula>0.64</formula>
      <formula>0.8</formula>
    </cfRule>
    <cfRule type="cellIs" dxfId="230" priority="21" operator="between">
      <formula>0.79</formula>
      <formula>0.9</formula>
    </cfRule>
    <cfRule type="cellIs" dxfId="229" priority="22" operator="between">
      <formula>0.89</formula>
      <formula>1</formula>
    </cfRule>
  </conditionalFormatting>
  <conditionalFormatting sqref="E27:E33">
    <cfRule type="cellIs" dxfId="228" priority="13" operator="between">
      <formula>0</formula>
      <formula>0.64</formula>
    </cfRule>
    <cfRule type="cellIs" dxfId="227" priority="14" operator="between">
      <formula>0.64</formula>
      <formula>0.8</formula>
    </cfRule>
    <cfRule type="cellIs" dxfId="226" priority="15" operator="between">
      <formula>0.79</formula>
      <formula>0.9</formula>
    </cfRule>
    <cfRule type="cellIs" dxfId="225" priority="16" operator="between">
      <formula>0.89</formula>
      <formula>1</formula>
    </cfRule>
  </conditionalFormatting>
  <conditionalFormatting sqref="G4:G6">
    <cfRule type="cellIs" dxfId="224" priority="18" operator="equal">
      <formula>1</formula>
    </cfRule>
  </conditionalFormatting>
  <conditionalFormatting sqref="H4:J4 O4 L5:N8 G5:J10 K9:N9 O9:O10 G26:J26 O26">
    <cfRule type="cellIs" dxfId="223" priority="11" operator="equal">
      <formula>1</formula>
    </cfRule>
  </conditionalFormatting>
  <conditionalFormatting sqref="K5:K8">
    <cfRule type="cellIs" dxfId="222" priority="2" operator="equal">
      <formula>"x"</formula>
    </cfRule>
  </conditionalFormatting>
  <conditionalFormatting sqref="K11:K13 P11:P13 G11:J25 K17:O25 G27:J33 L27:O33 G34:O34">
    <cfRule type="cellIs" dxfId="221" priority="8" operator="equal">
      <formula>"x"</formula>
    </cfRule>
  </conditionalFormatting>
  <conditionalFormatting sqref="K14:K16">
    <cfRule type="cellIs" dxfId="220" priority="6" operator="equal">
      <formula>1</formula>
    </cfRule>
  </conditionalFormatting>
  <conditionalFormatting sqref="K27:K33">
    <cfRule type="cellIs" dxfId="219" priority="1" operator="equal">
      <formula>1</formula>
    </cfRule>
  </conditionalFormatting>
  <conditionalFormatting sqref="L11:O16">
    <cfRule type="cellIs" dxfId="218" priority="7" operator="equal">
      <formula>"x"</formula>
    </cfRule>
  </conditionalFormatting>
  <conditionalFormatting sqref="O5:O8">
    <cfRule type="cellIs" dxfId="217" priority="3" operator="equal">
      <formula>"x"</formula>
    </cfRule>
  </conditionalFormatting>
  <conditionalFormatting sqref="O10:P10">
    <cfRule type="cellIs" dxfId="216" priority="9" operator="equal">
      <formula>"x"</formula>
    </cfRule>
  </conditionalFormatting>
  <conditionalFormatting sqref="P14:P16">
    <cfRule type="cellIs" dxfId="215" priority="10" operator="equal">
      <formula>1</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966-DED0-404F-9FCC-476FDF152F5F}">
  <dimension ref="A2:Z34"/>
  <sheetViews>
    <sheetView showGridLines="0" zoomScale="105" zoomScaleNormal="70" workbookViewId="0">
      <selection activeCell="H5" sqref="H5"/>
    </sheetView>
  </sheetViews>
  <sheetFormatPr baseColWidth="10" defaultColWidth="9.1640625" defaultRowHeight="15" customHeight="1" x14ac:dyDescent="0.2"/>
  <cols>
    <col min="1" max="1" width="51.5" customWidth="1"/>
    <col min="2" max="2" width="11.5" customWidth="1"/>
    <col min="3" max="3" width="13.5" customWidth="1"/>
    <col min="4" max="4" width="11.5" customWidth="1"/>
    <col min="5" max="5" width="12.1640625" customWidth="1"/>
    <col min="6" max="6" width="3.5" customWidth="1"/>
    <col min="7" max="17" width="10.5" customWidth="1"/>
  </cols>
  <sheetData>
    <row r="2" spans="1:26" ht="19" x14ac:dyDescent="0.25">
      <c r="A2" s="122" t="s">
        <v>551</v>
      </c>
    </row>
    <row r="3" spans="1:26" x14ac:dyDescent="0.2"/>
    <row r="4" spans="1:26" ht="16" x14ac:dyDescent="0.2">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R4" s="124" t="s">
        <v>561</v>
      </c>
      <c r="S4" s="124"/>
      <c r="T4" s="124"/>
      <c r="U4" s="124"/>
      <c r="V4" s="124"/>
      <c r="W4" s="124"/>
      <c r="X4" s="124"/>
      <c r="Y4" s="124"/>
      <c r="Z4" s="124"/>
    </row>
    <row r="5" spans="1:26" ht="16" x14ac:dyDescent="0.2">
      <c r="A5" s="127" t="s">
        <v>562</v>
      </c>
      <c r="B5" s="7"/>
      <c r="C5" s="128">
        <v>9</v>
      </c>
      <c r="D5" s="32">
        <f>SUM(G5:P5)</f>
        <v>24</v>
      </c>
      <c r="E5" s="33">
        <f>IF(D5&gt;C5,1,IFERROR(D5/C5,""))</f>
        <v>1</v>
      </c>
      <c r="F5" s="7"/>
      <c r="G5" s="13">
        <v>2</v>
      </c>
      <c r="H5" s="13">
        <v>13</v>
      </c>
      <c r="I5" s="13">
        <v>2</v>
      </c>
      <c r="J5" s="13"/>
      <c r="K5" s="13"/>
      <c r="L5" s="132">
        <v>2</v>
      </c>
      <c r="M5" s="13">
        <v>5</v>
      </c>
      <c r="N5" s="13"/>
      <c r="O5" s="13"/>
    </row>
    <row r="6" spans="1:26" ht="16" x14ac:dyDescent="0.2">
      <c r="A6" s="127" t="s">
        <v>563</v>
      </c>
      <c r="B6" s="7"/>
      <c r="C6" s="128">
        <v>9</v>
      </c>
      <c r="D6" s="32">
        <f>SUM(G6:P6)</f>
        <v>8</v>
      </c>
      <c r="E6" s="33">
        <f>IF(D6&gt;C6,1,IFERROR(D6/C6,""))</f>
        <v>0.88888888888888884</v>
      </c>
      <c r="F6" s="7"/>
      <c r="G6" s="13"/>
      <c r="H6" s="13">
        <v>2</v>
      </c>
      <c r="I6" s="13">
        <v>1</v>
      </c>
      <c r="J6" s="13"/>
      <c r="K6" s="13"/>
      <c r="L6" s="132">
        <v>2</v>
      </c>
      <c r="M6" s="13">
        <v>3</v>
      </c>
      <c r="N6" s="136"/>
      <c r="O6" s="136"/>
    </row>
    <row r="7" spans="1:26" ht="16" x14ac:dyDescent="0.2">
      <c r="A7" s="127"/>
      <c r="C7" s="128">
        <v>8</v>
      </c>
      <c r="D7" s="32">
        <f>SUM(G7:P7)</f>
        <v>0</v>
      </c>
      <c r="E7" s="33">
        <f>IF(D7&gt;C7,1,IFERROR(D7/C7,""))</f>
        <v>0</v>
      </c>
      <c r="G7" s="136"/>
      <c r="H7" s="136"/>
      <c r="I7" s="136"/>
      <c r="J7" s="136"/>
      <c r="K7" s="13"/>
      <c r="L7" s="132"/>
      <c r="M7" s="136"/>
      <c r="N7" s="13"/>
      <c r="O7" s="13"/>
      <c r="R7" s="125"/>
    </row>
    <row r="8" spans="1:26" ht="16" x14ac:dyDescent="0.2">
      <c r="A8" s="127"/>
      <c r="B8" s="7"/>
      <c r="C8" s="128">
        <v>8</v>
      </c>
      <c r="D8" s="32">
        <f>SUM(G8:P8)</f>
        <v>0</v>
      </c>
      <c r="E8" s="33">
        <f>IF(D8&gt;C8,1,IFERROR(D8/C8,""))</f>
        <v>0</v>
      </c>
      <c r="F8" s="7"/>
      <c r="G8" s="13"/>
      <c r="H8" s="13"/>
      <c r="I8" s="13"/>
      <c r="J8" s="13"/>
      <c r="K8" s="13"/>
      <c r="L8" s="132"/>
      <c r="M8" s="13"/>
      <c r="N8" s="13"/>
      <c r="O8" s="13"/>
    </row>
    <row r="9" spans="1:26" ht="16" x14ac:dyDescent="0.2">
      <c r="C9" s="123"/>
      <c r="P9" s="76"/>
      <c r="S9" s="76"/>
    </row>
    <row r="10" spans="1:26" ht="16" x14ac:dyDescent="0.2">
      <c r="A10" s="10" t="s">
        <v>564</v>
      </c>
      <c r="B10" s="3"/>
      <c r="C10" s="124" t="s">
        <v>553</v>
      </c>
      <c r="D10" s="124" t="s">
        <v>554</v>
      </c>
      <c r="E10" s="124" t="s">
        <v>49</v>
      </c>
      <c r="G10" s="12" t="s">
        <v>555</v>
      </c>
      <c r="H10" s="12" t="s">
        <v>556</v>
      </c>
      <c r="I10" s="12" t="s">
        <v>557</v>
      </c>
      <c r="J10" s="12" t="s">
        <v>558</v>
      </c>
      <c r="K10" s="12" t="s">
        <v>50</v>
      </c>
      <c r="L10" s="12" t="s">
        <v>3</v>
      </c>
      <c r="M10" s="12" t="s">
        <v>559</v>
      </c>
      <c r="N10" s="12" t="s">
        <v>560</v>
      </c>
      <c r="O10" s="12" t="s">
        <v>1</v>
      </c>
      <c r="P10" s="12"/>
      <c r="Q10" s="12"/>
      <c r="R10" s="76"/>
      <c r="S10" s="76"/>
    </row>
    <row r="11" spans="1:26" ht="16" x14ac:dyDescent="0.2">
      <c r="A11" s="76" t="s">
        <v>579</v>
      </c>
      <c r="C11" s="130">
        <v>6</v>
      </c>
      <c r="D11" s="13">
        <f t="shared" ref="D11:D16" si="0">COUNTIF(G11:P11,"X")</f>
        <v>3</v>
      </c>
      <c r="E11" s="33">
        <f t="shared" ref="E11:E15" si="1">IF(D11&gt;C11,1,IFERROR(D11/C11,""))</f>
        <v>0.5</v>
      </c>
      <c r="G11" s="13" t="s">
        <v>110</v>
      </c>
      <c r="H11" s="13"/>
      <c r="I11" s="13" t="s">
        <v>53</v>
      </c>
      <c r="J11" s="13" t="s">
        <v>53</v>
      </c>
      <c r="K11" s="13"/>
      <c r="L11" s="132"/>
      <c r="M11" s="132"/>
      <c r="N11" s="13"/>
      <c r="O11" s="136"/>
      <c r="P11" s="136"/>
      <c r="Q11" s="132"/>
      <c r="S11" s="76"/>
    </row>
    <row r="12" spans="1:26" ht="16" x14ac:dyDescent="0.2">
      <c r="A12" s="76" t="s">
        <v>566</v>
      </c>
      <c r="C12" s="130">
        <v>5</v>
      </c>
      <c r="D12" s="13">
        <f t="shared" si="0"/>
        <v>5</v>
      </c>
      <c r="E12" s="33">
        <f t="shared" si="1"/>
        <v>1</v>
      </c>
      <c r="G12" s="13" t="s">
        <v>110</v>
      </c>
      <c r="H12" s="13" t="s">
        <v>110</v>
      </c>
      <c r="I12" s="13" t="s">
        <v>110</v>
      </c>
      <c r="J12" s="13" t="s">
        <v>53</v>
      </c>
      <c r="K12" s="13"/>
      <c r="L12" s="132" t="s">
        <v>110</v>
      </c>
      <c r="M12" s="132"/>
      <c r="N12" s="132"/>
      <c r="O12" s="132"/>
      <c r="P12" s="132"/>
      <c r="Q12" s="132"/>
      <c r="S12" s="76"/>
    </row>
    <row r="13" spans="1:26" ht="16" x14ac:dyDescent="0.2">
      <c r="A13" s="76" t="s">
        <v>567</v>
      </c>
      <c r="C13" s="130">
        <v>5</v>
      </c>
      <c r="D13" s="13">
        <f t="shared" si="0"/>
        <v>4</v>
      </c>
      <c r="E13" s="33">
        <f t="shared" si="1"/>
        <v>0.8</v>
      </c>
      <c r="G13" s="13" t="s">
        <v>53</v>
      </c>
      <c r="H13" s="13" t="s">
        <v>110</v>
      </c>
      <c r="I13" s="13" t="s">
        <v>53</v>
      </c>
      <c r="J13" s="13" t="s">
        <v>53</v>
      </c>
      <c r="K13" s="13"/>
      <c r="L13" s="132"/>
      <c r="M13" s="132"/>
      <c r="N13" s="132"/>
      <c r="O13" s="132"/>
      <c r="P13" s="132"/>
      <c r="Q13" s="132"/>
      <c r="S13" s="76"/>
    </row>
    <row r="14" spans="1:26" ht="16" x14ac:dyDescent="0.2">
      <c r="A14" s="76" t="s">
        <v>568</v>
      </c>
      <c r="C14" s="130">
        <v>5</v>
      </c>
      <c r="D14" s="13">
        <f t="shared" si="0"/>
        <v>4</v>
      </c>
      <c r="E14" s="33">
        <f t="shared" si="1"/>
        <v>0.8</v>
      </c>
      <c r="G14" s="13" t="s">
        <v>110</v>
      </c>
      <c r="H14" s="13" t="s">
        <v>110</v>
      </c>
      <c r="I14" s="13" t="s">
        <v>110</v>
      </c>
      <c r="J14" s="13" t="s">
        <v>53</v>
      </c>
      <c r="K14" s="13"/>
      <c r="L14" s="132"/>
      <c r="M14" s="132"/>
      <c r="N14" s="132"/>
      <c r="O14" s="132"/>
      <c r="P14" s="13"/>
      <c r="Q14" s="132"/>
      <c r="R14" s="125"/>
      <c r="S14" s="76"/>
    </row>
    <row r="15" spans="1:26" ht="16" x14ac:dyDescent="0.2">
      <c r="A15" s="76" t="s">
        <v>569</v>
      </c>
      <c r="C15" s="130">
        <v>5</v>
      </c>
      <c r="D15" s="13">
        <f t="shared" si="0"/>
        <v>4</v>
      </c>
      <c r="E15" s="33">
        <f t="shared" si="1"/>
        <v>0.8</v>
      </c>
      <c r="G15" s="13" t="s">
        <v>53</v>
      </c>
      <c r="H15" s="13" t="s">
        <v>53</v>
      </c>
      <c r="I15" s="13" t="s">
        <v>53</v>
      </c>
      <c r="J15" s="13" t="s">
        <v>53</v>
      </c>
      <c r="K15" s="13"/>
      <c r="L15" s="132"/>
      <c r="M15" s="132"/>
      <c r="N15" s="132"/>
      <c r="O15" s="132"/>
      <c r="P15" s="132"/>
      <c r="Q15" s="132"/>
      <c r="R15" s="126"/>
      <c r="S15" s="76"/>
    </row>
    <row r="16" spans="1:26" ht="16" x14ac:dyDescent="0.2">
      <c r="A16" s="76" t="s">
        <v>570</v>
      </c>
      <c r="C16" s="130">
        <v>5</v>
      </c>
      <c r="D16" s="13">
        <f t="shared" si="0"/>
        <v>2</v>
      </c>
      <c r="E16" s="33">
        <f>IF(D16&gt;C16,1,IFERROR(D16/C16,""))</f>
        <v>0.4</v>
      </c>
      <c r="G16" s="13" t="s">
        <v>53</v>
      </c>
      <c r="H16" s="13"/>
      <c r="I16" s="13"/>
      <c r="J16" s="13" t="s">
        <v>53</v>
      </c>
      <c r="K16" s="13"/>
      <c r="L16" s="132"/>
      <c r="M16" s="132"/>
      <c r="N16" s="132"/>
      <c r="O16" s="132"/>
      <c r="P16" s="13"/>
      <c r="Q16" s="132"/>
      <c r="S16" s="7"/>
    </row>
    <row r="17" spans="1:18" x14ac:dyDescent="0.2"/>
    <row r="18" spans="1:18" ht="16" hidden="1" x14ac:dyDescent="0.2">
      <c r="A18" s="78" t="s">
        <v>571</v>
      </c>
      <c r="B18" s="80"/>
      <c r="C18" s="124" t="s">
        <v>553</v>
      </c>
      <c r="D18" s="124" t="s">
        <v>554</v>
      </c>
      <c r="E18" s="124" t="s">
        <v>49</v>
      </c>
      <c r="G18" s="12"/>
      <c r="H18" s="12"/>
      <c r="I18" s="12"/>
      <c r="J18" s="12"/>
      <c r="K18" s="12"/>
      <c r="L18" s="12"/>
      <c r="M18" s="12"/>
      <c r="N18" s="12"/>
      <c r="O18" s="12"/>
      <c r="P18" s="12"/>
    </row>
    <row r="19" spans="1:18" ht="16" hidden="1" x14ac:dyDescent="0.2">
      <c r="A19" s="76" t="s">
        <v>572</v>
      </c>
      <c r="C19" s="130">
        <v>3</v>
      </c>
      <c r="D19" s="13">
        <f t="shared" ref="D19:D21" si="2">COUNTIF(G19:P19,"X")</f>
        <v>0</v>
      </c>
      <c r="E19" s="33">
        <f>IF(D19&gt;C19,1,IFERROR(D19/C19,""))</f>
        <v>0</v>
      </c>
      <c r="G19" s="13"/>
      <c r="H19" s="13"/>
      <c r="I19" s="13"/>
      <c r="J19" s="137"/>
      <c r="K19" s="13"/>
      <c r="L19" s="137"/>
      <c r="M19" s="13"/>
      <c r="N19" s="13"/>
      <c r="O19" s="13"/>
      <c r="P19" s="13"/>
      <c r="R19" s="126"/>
    </row>
    <row r="20" spans="1:18" ht="16" hidden="1" x14ac:dyDescent="0.2">
      <c r="A20" s="76" t="s">
        <v>573</v>
      </c>
      <c r="C20" s="130">
        <v>10</v>
      </c>
      <c r="D20" s="13">
        <f t="shared" si="2"/>
        <v>0</v>
      </c>
      <c r="E20" s="33">
        <f>IF(D20&gt;C20,1,IFERROR(D20/C20,""))</f>
        <v>0</v>
      </c>
      <c r="G20" s="137"/>
      <c r="H20" s="137"/>
      <c r="I20" s="137"/>
      <c r="J20" s="137"/>
      <c r="K20" s="137"/>
      <c r="L20" s="137"/>
      <c r="M20" s="137"/>
      <c r="N20" s="137"/>
      <c r="O20" s="137"/>
      <c r="P20" s="137"/>
    </row>
    <row r="21" spans="1:18" ht="16" hidden="1" x14ac:dyDescent="0.2">
      <c r="A21" s="76" t="s">
        <v>574</v>
      </c>
      <c r="C21" s="130">
        <v>10</v>
      </c>
      <c r="D21" s="13">
        <f t="shared" si="2"/>
        <v>0</v>
      </c>
      <c r="E21" s="33">
        <f>IF(D21&gt;C21,1,IFERROR(D21/C21,""))</f>
        <v>0</v>
      </c>
      <c r="G21" s="137"/>
      <c r="H21" s="137"/>
      <c r="I21" s="137"/>
      <c r="J21" s="137"/>
      <c r="K21" s="137"/>
      <c r="L21" s="137"/>
      <c r="M21" s="137"/>
      <c r="N21" s="137"/>
      <c r="O21" s="137"/>
      <c r="P21" s="137"/>
    </row>
    <row r="22" spans="1:18" ht="16" hidden="1" x14ac:dyDescent="0.2">
      <c r="A22" s="76"/>
      <c r="C22" s="130"/>
      <c r="D22" s="13"/>
      <c r="E22" s="13"/>
      <c r="G22" s="13"/>
      <c r="H22" s="13"/>
      <c r="I22" s="13"/>
      <c r="J22" s="13"/>
      <c r="K22" s="13"/>
      <c r="L22" s="133"/>
      <c r="M22" s="13"/>
      <c r="N22" s="13"/>
      <c r="O22" s="13"/>
      <c r="P22" s="13"/>
    </row>
    <row r="23" spans="1:18" ht="16" hidden="1" x14ac:dyDescent="0.2">
      <c r="A23" s="127"/>
      <c r="C23" s="130"/>
      <c r="D23" s="13"/>
      <c r="E23" s="13"/>
      <c r="G23" s="13"/>
      <c r="H23" s="13"/>
      <c r="I23" s="13"/>
      <c r="J23" s="13"/>
      <c r="K23" s="13"/>
      <c r="L23" s="133"/>
      <c r="M23" s="13"/>
      <c r="N23" s="13"/>
      <c r="O23" s="13"/>
      <c r="P23" s="13"/>
      <c r="R23" s="126"/>
    </row>
    <row r="24" spans="1:18" ht="16" x14ac:dyDescent="0.2">
      <c r="A24" s="127"/>
      <c r="C24" s="127"/>
      <c r="G24" s="129"/>
      <c r="N24" s="118"/>
      <c r="O24" s="118"/>
    </row>
    <row r="25" spans="1:18" ht="16" x14ac:dyDescent="0.2">
      <c r="A25" s="7"/>
      <c r="N25" s="118"/>
      <c r="O25" s="118"/>
    </row>
    <row r="26" spans="1:18" ht="16" x14ac:dyDescent="0.2">
      <c r="A26" s="78" t="s">
        <v>575</v>
      </c>
      <c r="B26" s="80"/>
      <c r="C26" s="124" t="s">
        <v>553</v>
      </c>
      <c r="D26" s="124" t="s">
        <v>554</v>
      </c>
      <c r="E26" s="124" t="s">
        <v>49</v>
      </c>
      <c r="G26" s="12" t="s">
        <v>555</v>
      </c>
      <c r="H26" s="12" t="s">
        <v>556</v>
      </c>
      <c r="I26" s="12" t="s">
        <v>557</v>
      </c>
      <c r="J26" s="12" t="s">
        <v>558</v>
      </c>
      <c r="K26" s="12" t="s">
        <v>50</v>
      </c>
      <c r="L26" s="12" t="s">
        <v>3</v>
      </c>
      <c r="M26" s="12" t="s">
        <v>559</v>
      </c>
      <c r="N26" s="12" t="s">
        <v>560</v>
      </c>
      <c r="O26" s="12" t="s">
        <v>1</v>
      </c>
    </row>
    <row r="27" spans="1:18" ht="16" x14ac:dyDescent="0.2">
      <c r="A27" s="127" t="s">
        <v>580</v>
      </c>
      <c r="C27" s="130">
        <v>5</v>
      </c>
      <c r="D27" s="13">
        <f t="shared" ref="D27:D33" si="3">COUNTIF(G27:P27,"X")</f>
        <v>2</v>
      </c>
      <c r="E27" s="33">
        <f>IF(D27&gt;C27,1,IFERROR(D27/C27,""))</f>
        <v>0.4</v>
      </c>
      <c r="G27" s="13" t="s">
        <v>53</v>
      </c>
      <c r="H27" s="13" t="s">
        <v>53</v>
      </c>
      <c r="I27" s="13"/>
      <c r="J27" s="13"/>
      <c r="K27" s="13"/>
      <c r="L27" s="132"/>
      <c r="M27" s="136"/>
      <c r="N27" s="132"/>
      <c r="O27" s="132"/>
      <c r="R27" s="126"/>
    </row>
    <row r="28" spans="1:18" ht="16" x14ac:dyDescent="0.2">
      <c r="A28" s="127" t="s">
        <v>577</v>
      </c>
      <c r="C28" s="130">
        <v>4</v>
      </c>
      <c r="D28" s="13">
        <f t="shared" si="3"/>
        <v>2</v>
      </c>
      <c r="E28" s="33">
        <f>IF(D28&gt;C28,1,IFERROR(D28/C28,""))</f>
        <v>0.5</v>
      </c>
      <c r="G28" s="13" t="s">
        <v>53</v>
      </c>
      <c r="H28" s="13" t="s">
        <v>53</v>
      </c>
      <c r="I28" s="13"/>
      <c r="J28" s="13"/>
      <c r="K28" s="13"/>
      <c r="L28" s="132"/>
      <c r="M28" s="132"/>
      <c r="N28" s="132"/>
      <c r="O28" s="132"/>
      <c r="R28" s="126"/>
    </row>
    <row r="29" spans="1:18" ht="17" x14ac:dyDescent="0.2">
      <c r="A29" s="131" t="s">
        <v>578</v>
      </c>
      <c r="C29" s="130">
        <v>5</v>
      </c>
      <c r="D29" s="13">
        <f t="shared" si="3"/>
        <v>0</v>
      </c>
      <c r="E29" s="33">
        <f>IF(D29&gt;C29,1,IFERROR(D29/C29,""))</f>
        <v>0</v>
      </c>
      <c r="G29" s="13"/>
      <c r="H29" s="13"/>
      <c r="I29" s="13"/>
      <c r="J29" s="13"/>
      <c r="K29" s="13"/>
      <c r="L29" s="13"/>
      <c r="M29" s="13"/>
      <c r="N29" s="13"/>
      <c r="O29" s="13"/>
      <c r="R29" s="126"/>
    </row>
    <row r="30" spans="1:18" x14ac:dyDescent="0.2">
      <c r="C30" s="130">
        <v>3</v>
      </c>
      <c r="D30" s="13">
        <f t="shared" si="3"/>
        <v>0</v>
      </c>
      <c r="E30" s="33">
        <f>IF(D30&gt;C30,1,IFERROR(D30/C30,""))</f>
        <v>0</v>
      </c>
      <c r="G30" s="13"/>
      <c r="H30" s="13"/>
      <c r="I30" s="13"/>
      <c r="J30" s="13"/>
      <c r="K30" s="13"/>
      <c r="L30" s="13"/>
      <c r="M30" s="13"/>
      <c r="N30" s="13"/>
      <c r="O30" s="13"/>
      <c r="P30" s="126"/>
    </row>
    <row r="31" spans="1:18" ht="16" x14ac:dyDescent="0.2">
      <c r="A31" s="127"/>
      <c r="C31" s="130">
        <v>6</v>
      </c>
      <c r="D31" s="13">
        <f t="shared" si="3"/>
        <v>0</v>
      </c>
      <c r="E31" s="33">
        <f t="shared" ref="E31:E33" si="4">IF(D31&gt;C31,1,IFERROR(D31/C31,""))</f>
        <v>0</v>
      </c>
      <c r="G31" s="13"/>
      <c r="H31" s="13"/>
      <c r="I31" s="13"/>
      <c r="J31" s="13"/>
      <c r="K31" s="13"/>
      <c r="L31" s="13"/>
      <c r="M31" s="13"/>
      <c r="N31" s="13"/>
      <c r="O31" s="13"/>
      <c r="P31" s="126"/>
    </row>
    <row r="32" spans="1:18" ht="16" x14ac:dyDescent="0.2">
      <c r="A32" s="127"/>
      <c r="C32" s="130">
        <v>9</v>
      </c>
      <c r="D32" s="13">
        <f t="shared" si="3"/>
        <v>0</v>
      </c>
      <c r="E32" s="33">
        <f t="shared" si="4"/>
        <v>0</v>
      </c>
      <c r="G32" s="13"/>
      <c r="H32" s="13"/>
      <c r="I32" s="13"/>
      <c r="J32" s="13"/>
      <c r="K32" s="13"/>
      <c r="L32" s="13"/>
      <c r="M32" s="13"/>
      <c r="N32" s="13"/>
      <c r="O32" s="13"/>
    </row>
    <row r="33" spans="1:15" ht="16" x14ac:dyDescent="0.2">
      <c r="A33" s="127"/>
      <c r="C33" s="130">
        <v>1</v>
      </c>
      <c r="D33" s="13">
        <f t="shared" si="3"/>
        <v>0</v>
      </c>
      <c r="E33" s="33">
        <f t="shared" si="4"/>
        <v>0</v>
      </c>
      <c r="G33" s="13"/>
      <c r="H33" s="13"/>
      <c r="I33" s="13"/>
      <c r="J33" s="13"/>
      <c r="K33" s="13"/>
      <c r="L33" s="13"/>
      <c r="M33" s="13"/>
      <c r="N33" s="13"/>
      <c r="O33" s="13"/>
    </row>
    <row r="34" spans="1:15" x14ac:dyDescent="0.2"/>
  </sheetData>
  <conditionalFormatting sqref="E5:E8 E11:E16 E19:E21">
    <cfRule type="cellIs" dxfId="214" priority="32" operator="between">
      <formula>0</formula>
      <formula>0.64</formula>
    </cfRule>
    <cfRule type="cellIs" dxfId="213" priority="33" operator="between">
      <formula>0.64</formula>
      <formula>0.8</formula>
    </cfRule>
    <cfRule type="cellIs" dxfId="212" priority="34" operator="between">
      <formula>0.79</formula>
      <formula>0.9</formula>
    </cfRule>
    <cfRule type="cellIs" dxfId="211" priority="35" operator="between">
      <formula>0.89</formula>
      <formula>1</formula>
    </cfRule>
  </conditionalFormatting>
  <conditionalFormatting sqref="E27:E33">
    <cfRule type="cellIs" dxfId="210" priority="25" operator="between">
      <formula>0</formula>
      <formula>0.64</formula>
    </cfRule>
    <cfRule type="cellIs" dxfId="209" priority="26" operator="between">
      <formula>0.64</formula>
      <formula>0.8</formula>
    </cfRule>
    <cfRule type="cellIs" dxfId="208" priority="27" operator="between">
      <formula>0.79</formula>
      <formula>0.9</formula>
    </cfRule>
    <cfRule type="cellIs" dxfId="207" priority="28" operator="between">
      <formula>0.89</formula>
      <formula>1</formula>
    </cfRule>
  </conditionalFormatting>
  <conditionalFormatting sqref="G14:K16">
    <cfRule type="cellIs" dxfId="206" priority="5" operator="equal">
      <formula>"x"</formula>
    </cfRule>
  </conditionalFormatting>
  <conditionalFormatting sqref="G5:O9">
    <cfRule type="cellIs" dxfId="205" priority="22" operator="equal">
      <formula>1</formula>
    </cfRule>
  </conditionalFormatting>
  <conditionalFormatting sqref="G17:O17 G24:O25 G27:O34">
    <cfRule type="cellIs" dxfId="204" priority="30" operator="equal">
      <formula>"x"</formula>
    </cfRule>
  </conditionalFormatting>
  <conditionalFormatting sqref="G18:P23 G26:K26">
    <cfRule type="cellIs" dxfId="203" priority="24" operator="equal">
      <formula>"x"</formula>
    </cfRule>
  </conditionalFormatting>
  <conditionalFormatting sqref="G10:Q13">
    <cfRule type="cellIs" dxfId="202" priority="8" operator="equal">
      <formula>"x"</formula>
    </cfRule>
  </conditionalFormatting>
  <conditionalFormatting sqref="H4:K4 G4:G6">
    <cfRule type="cellIs" dxfId="201" priority="31" operator="equal">
      <formula>1</formula>
    </cfRule>
  </conditionalFormatting>
  <conditionalFormatting sqref="L14:M16">
    <cfRule type="cellIs" dxfId="200" priority="1" operator="equal">
      <formula>1</formula>
    </cfRule>
  </conditionalFormatting>
  <conditionalFormatting sqref="N14:P16">
    <cfRule type="cellIs" dxfId="199" priority="2" operator="equal">
      <formula>"x"</formula>
    </cfRule>
  </conditionalFormatting>
  <conditionalFormatting sqref="Q14:Q16">
    <cfRule type="cellIs" dxfId="198" priority="14" operator="equal">
      <formula>1</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6F07-16D3-47E4-86D1-89157B897776}">
  <dimension ref="A2:Z36"/>
  <sheetViews>
    <sheetView showGridLines="0" zoomScale="78" zoomScaleNormal="78" workbookViewId="0">
      <selection activeCell="L17" sqref="L17"/>
    </sheetView>
  </sheetViews>
  <sheetFormatPr baseColWidth="10" defaultColWidth="9.1640625" defaultRowHeight="15" customHeight="1" x14ac:dyDescent="0.2"/>
  <cols>
    <col min="1" max="1" width="51.5" customWidth="1"/>
    <col min="2" max="2" width="11.5" customWidth="1"/>
    <col min="3" max="3" width="13.5" customWidth="1"/>
    <col min="4" max="4" width="11.5" customWidth="1"/>
    <col min="5" max="5" width="12.1640625" customWidth="1"/>
    <col min="6" max="6" width="3.5" customWidth="1"/>
    <col min="7" max="17" width="10.5" customWidth="1"/>
  </cols>
  <sheetData>
    <row r="2" spans="1:26" ht="19" x14ac:dyDescent="0.25">
      <c r="A2" s="122" t="s">
        <v>551</v>
      </c>
    </row>
    <row r="3" spans="1:26" x14ac:dyDescent="0.2"/>
    <row r="4" spans="1:26" ht="16" x14ac:dyDescent="0.2">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R4" s="124" t="s">
        <v>561</v>
      </c>
      <c r="S4" s="124"/>
      <c r="T4" s="124"/>
      <c r="U4" s="124"/>
      <c r="V4" s="124"/>
      <c r="W4" s="124"/>
      <c r="X4" s="124"/>
      <c r="Y4" s="124"/>
      <c r="Z4" s="124"/>
    </row>
    <row r="5" spans="1:26" ht="16" x14ac:dyDescent="0.2">
      <c r="A5" s="127" t="s">
        <v>581</v>
      </c>
      <c r="B5" s="7"/>
      <c r="C5" s="128">
        <v>9</v>
      </c>
      <c r="D5" s="32">
        <f>SUM(G5:P5)</f>
        <v>13</v>
      </c>
      <c r="E5" s="33">
        <f>IF(D5&gt;C5,1,IFERROR(D5/C5,""))</f>
        <v>1</v>
      </c>
      <c r="F5" s="7"/>
      <c r="G5" s="13">
        <v>3</v>
      </c>
      <c r="H5" s="13">
        <v>3</v>
      </c>
      <c r="I5" s="13">
        <v>1</v>
      </c>
      <c r="J5" s="13">
        <v>2</v>
      </c>
      <c r="K5" s="132"/>
      <c r="L5" s="132"/>
      <c r="M5" s="13">
        <v>2</v>
      </c>
      <c r="N5" s="13">
        <v>2</v>
      </c>
      <c r="O5" s="13"/>
    </row>
    <row r="6" spans="1:26" ht="16" x14ac:dyDescent="0.2">
      <c r="A6" s="127" t="s">
        <v>582</v>
      </c>
      <c r="B6" s="7"/>
      <c r="C6" s="128">
        <v>9</v>
      </c>
      <c r="D6" s="32">
        <f>SUM(G6:P6)</f>
        <v>19</v>
      </c>
      <c r="E6" s="33">
        <f>IF(D6&gt;C6,1,IFERROR(D6/C6,""))</f>
        <v>1</v>
      </c>
      <c r="F6" s="7"/>
      <c r="G6" s="13">
        <v>6</v>
      </c>
      <c r="H6" s="13">
        <v>6</v>
      </c>
      <c r="I6" s="13">
        <v>2</v>
      </c>
      <c r="J6" s="13"/>
      <c r="K6" s="132"/>
      <c r="L6" s="132"/>
      <c r="M6" s="13">
        <v>5</v>
      </c>
      <c r="N6" s="136"/>
      <c r="O6" s="136"/>
    </row>
    <row r="7" spans="1:26" ht="16" x14ac:dyDescent="0.2">
      <c r="A7" s="127" t="s">
        <v>583</v>
      </c>
      <c r="C7" s="128">
        <v>7</v>
      </c>
      <c r="D7" s="32">
        <f>SUM(G7:P7)</f>
        <v>5</v>
      </c>
      <c r="E7" s="33">
        <f>IF(D7&gt;C7,1,IFERROR(D7/C7,""))</f>
        <v>0.7142857142857143</v>
      </c>
      <c r="G7" s="136">
        <v>2</v>
      </c>
      <c r="H7" s="136">
        <v>1</v>
      </c>
      <c r="I7" s="136"/>
      <c r="J7" s="136"/>
      <c r="K7" s="132"/>
      <c r="L7" s="132"/>
      <c r="M7" s="136">
        <v>2</v>
      </c>
      <c r="N7" s="13"/>
      <c r="O7" s="13"/>
      <c r="R7" s="125"/>
    </row>
    <row r="8" spans="1:26" ht="16" x14ac:dyDescent="0.2">
      <c r="A8" s="127" t="s">
        <v>584</v>
      </c>
      <c r="C8" s="128">
        <v>7</v>
      </c>
      <c r="D8" s="32">
        <f t="shared" ref="D8:D9" si="0">SUM(G8:P8)</f>
        <v>1</v>
      </c>
      <c r="E8" s="33">
        <f t="shared" ref="E8:E9" si="1">IF(D8&gt;C8,1,IFERROR(D8/C8,""))</f>
        <v>0.14285714285714285</v>
      </c>
      <c r="G8" s="136"/>
      <c r="H8" s="136">
        <v>1</v>
      </c>
      <c r="I8" s="136"/>
      <c r="J8" s="136"/>
      <c r="K8" s="132"/>
      <c r="L8" s="132"/>
      <c r="M8" s="136"/>
      <c r="N8" s="13"/>
      <c r="O8" s="13"/>
      <c r="R8" s="125"/>
    </row>
    <row r="9" spans="1:26" ht="16" x14ac:dyDescent="0.2">
      <c r="A9" s="127" t="s">
        <v>585</v>
      </c>
      <c r="C9" s="128">
        <v>2</v>
      </c>
      <c r="D9" s="32">
        <f t="shared" si="0"/>
        <v>0</v>
      </c>
      <c r="E9" s="33">
        <f t="shared" si="1"/>
        <v>0</v>
      </c>
      <c r="G9" s="136"/>
      <c r="H9" s="136"/>
      <c r="I9" s="136"/>
      <c r="J9" s="136"/>
      <c r="K9" s="132"/>
      <c r="L9" s="132"/>
      <c r="M9" s="136"/>
      <c r="N9" s="13"/>
      <c r="O9" s="13"/>
      <c r="R9" s="125"/>
    </row>
    <row r="10" spans="1:26" ht="16" x14ac:dyDescent="0.2">
      <c r="A10" s="127" t="s">
        <v>586</v>
      </c>
      <c r="B10" s="7"/>
      <c r="C10" s="128">
        <v>7</v>
      </c>
      <c r="D10" s="32">
        <f>SUM(G10:P10)</f>
        <v>1</v>
      </c>
      <c r="E10" s="33">
        <f>IF(D10&gt;C10,1,IFERROR(D10/C10,""))</f>
        <v>0.14285714285714285</v>
      </c>
      <c r="F10" s="7"/>
      <c r="G10" s="13">
        <v>1</v>
      </c>
      <c r="H10" s="13"/>
      <c r="I10" s="13"/>
      <c r="J10" s="13"/>
      <c r="K10" s="132"/>
      <c r="L10" s="132"/>
      <c r="M10" s="13"/>
      <c r="N10" s="13"/>
      <c r="O10" s="13"/>
    </row>
    <row r="11" spans="1:26" ht="16" x14ac:dyDescent="0.2">
      <c r="C11" s="123"/>
      <c r="P11" s="76"/>
      <c r="S11" s="76"/>
    </row>
    <row r="12" spans="1:26" ht="16" x14ac:dyDescent="0.2">
      <c r="A12" s="10" t="s">
        <v>564</v>
      </c>
      <c r="B12" s="3"/>
      <c r="C12" s="124" t="s">
        <v>553</v>
      </c>
      <c r="D12" s="124" t="s">
        <v>554</v>
      </c>
      <c r="E12" s="124" t="s">
        <v>49</v>
      </c>
      <c r="G12" s="12" t="s">
        <v>555</v>
      </c>
      <c r="H12" s="12" t="s">
        <v>556</v>
      </c>
      <c r="I12" s="12" t="s">
        <v>557</v>
      </c>
      <c r="J12" s="12" t="s">
        <v>558</v>
      </c>
      <c r="K12" s="12" t="s">
        <v>50</v>
      </c>
      <c r="L12" s="12" t="s">
        <v>3</v>
      </c>
      <c r="M12" s="12" t="s">
        <v>559</v>
      </c>
      <c r="N12" s="12" t="s">
        <v>560</v>
      </c>
      <c r="O12" s="12"/>
      <c r="P12" s="12"/>
      <c r="Q12" s="12"/>
      <c r="R12" s="76"/>
      <c r="S12" s="76"/>
    </row>
    <row r="13" spans="1:26" ht="16" x14ac:dyDescent="0.2">
      <c r="A13" s="76" t="s">
        <v>587</v>
      </c>
      <c r="C13" s="130">
        <v>6</v>
      </c>
      <c r="D13" s="13">
        <f t="shared" ref="D13:D18" si="2">COUNTIF(G13:P13,"X")</f>
        <v>2</v>
      </c>
      <c r="E13" s="33">
        <f t="shared" ref="E13:E17" si="3">IF(D13&gt;C13,1,IFERROR(D13/C13,""))</f>
        <v>0.33333333333333331</v>
      </c>
      <c r="G13" s="13" t="s">
        <v>53</v>
      </c>
      <c r="H13" s="13" t="s">
        <v>53</v>
      </c>
      <c r="I13" s="132"/>
      <c r="J13" s="132"/>
      <c r="K13" s="132"/>
      <c r="L13" s="132"/>
      <c r="M13" s="132"/>
      <c r="N13" s="132"/>
      <c r="O13" s="136"/>
      <c r="P13" s="136"/>
      <c r="Q13" s="132"/>
      <c r="S13" s="76"/>
    </row>
    <row r="14" spans="1:26" ht="16" x14ac:dyDescent="0.2">
      <c r="A14" s="76" t="s">
        <v>566</v>
      </c>
      <c r="C14" s="130">
        <v>5</v>
      </c>
      <c r="D14" s="13">
        <f t="shared" si="2"/>
        <v>5</v>
      </c>
      <c r="E14" s="33">
        <f t="shared" si="3"/>
        <v>1</v>
      </c>
      <c r="G14" s="13" t="s">
        <v>53</v>
      </c>
      <c r="H14" s="13" t="s">
        <v>53</v>
      </c>
      <c r="I14" s="13" t="s">
        <v>53</v>
      </c>
      <c r="J14" s="13" t="s">
        <v>53</v>
      </c>
      <c r="K14" s="132"/>
      <c r="L14" s="132" t="s">
        <v>53</v>
      </c>
      <c r="M14" s="132"/>
      <c r="N14" s="132"/>
      <c r="O14" s="132"/>
      <c r="P14" s="132"/>
      <c r="Q14" s="132"/>
      <c r="S14" s="76"/>
    </row>
    <row r="15" spans="1:26" ht="16" x14ac:dyDescent="0.2">
      <c r="A15" s="76" t="s">
        <v>567</v>
      </c>
      <c r="C15" s="130">
        <v>5</v>
      </c>
      <c r="D15" s="13">
        <f t="shared" si="2"/>
        <v>4</v>
      </c>
      <c r="E15" s="33">
        <f t="shared" si="3"/>
        <v>0.8</v>
      </c>
      <c r="G15" s="13" t="s">
        <v>53</v>
      </c>
      <c r="H15" s="13" t="s">
        <v>53</v>
      </c>
      <c r="I15" s="13" t="s">
        <v>53</v>
      </c>
      <c r="J15" s="13" t="s">
        <v>53</v>
      </c>
      <c r="K15" s="132"/>
      <c r="L15" s="132"/>
      <c r="M15" s="132"/>
      <c r="N15" s="132"/>
      <c r="O15" s="132"/>
      <c r="P15" s="132"/>
      <c r="Q15" s="132"/>
      <c r="S15" s="76"/>
    </row>
    <row r="16" spans="1:26" ht="16" x14ac:dyDescent="0.2">
      <c r="A16" s="76" t="s">
        <v>568</v>
      </c>
      <c r="C16" s="130">
        <v>5</v>
      </c>
      <c r="D16" s="13">
        <f t="shared" si="2"/>
        <v>5</v>
      </c>
      <c r="E16" s="33">
        <f t="shared" si="3"/>
        <v>1</v>
      </c>
      <c r="G16" s="13" t="s">
        <v>53</v>
      </c>
      <c r="H16" s="13" t="s">
        <v>53</v>
      </c>
      <c r="I16" s="13" t="s">
        <v>53</v>
      </c>
      <c r="J16" s="13" t="s">
        <v>53</v>
      </c>
      <c r="K16" s="132"/>
      <c r="L16" s="13" t="s">
        <v>53</v>
      </c>
      <c r="M16" s="132"/>
      <c r="N16" s="132"/>
      <c r="O16" s="13"/>
      <c r="P16" s="13"/>
      <c r="Q16" s="132"/>
      <c r="R16" s="125"/>
      <c r="S16" s="76"/>
    </row>
    <row r="17" spans="1:19" ht="16" x14ac:dyDescent="0.2">
      <c r="A17" s="76" t="s">
        <v>569</v>
      </c>
      <c r="C17" s="130">
        <v>5</v>
      </c>
      <c r="D17" s="13">
        <f t="shared" si="2"/>
        <v>4</v>
      </c>
      <c r="E17" s="33">
        <f t="shared" si="3"/>
        <v>0.8</v>
      </c>
      <c r="G17" s="13" t="s">
        <v>53</v>
      </c>
      <c r="H17" s="13" t="s">
        <v>53</v>
      </c>
      <c r="I17" s="13" t="s">
        <v>53</v>
      </c>
      <c r="J17" s="13" t="s">
        <v>53</v>
      </c>
      <c r="K17" s="132"/>
      <c r="L17" s="13"/>
      <c r="M17" s="132"/>
      <c r="N17" s="13"/>
      <c r="O17" s="132"/>
      <c r="P17" s="132"/>
      <c r="Q17" s="132"/>
      <c r="R17" s="126"/>
      <c r="S17" s="76"/>
    </row>
    <row r="18" spans="1:19" ht="16" x14ac:dyDescent="0.2">
      <c r="A18" s="76" t="s">
        <v>570</v>
      </c>
      <c r="C18" s="130">
        <v>5</v>
      </c>
      <c r="D18" s="13">
        <f t="shared" si="2"/>
        <v>3</v>
      </c>
      <c r="E18" s="33">
        <f>IF(D18&gt;C18,1,IFERROR(D18/C18,""))</f>
        <v>0.6</v>
      </c>
      <c r="G18" s="13"/>
      <c r="H18" s="13"/>
      <c r="I18" s="13" t="s">
        <v>53</v>
      </c>
      <c r="J18" s="13" t="s">
        <v>53</v>
      </c>
      <c r="K18" s="132"/>
      <c r="L18" s="13" t="s">
        <v>53</v>
      </c>
      <c r="M18" s="132"/>
      <c r="N18" s="132"/>
      <c r="O18" s="13"/>
      <c r="P18" s="13"/>
      <c r="Q18" s="132"/>
      <c r="S18" s="7"/>
    </row>
    <row r="19" spans="1:19" x14ac:dyDescent="0.2"/>
    <row r="20" spans="1:19" ht="16" hidden="1" x14ac:dyDescent="0.2">
      <c r="A20" s="78" t="s">
        <v>571</v>
      </c>
      <c r="B20" s="80"/>
      <c r="C20" s="124" t="s">
        <v>553</v>
      </c>
      <c r="D20" s="124" t="s">
        <v>554</v>
      </c>
      <c r="E20" s="124" t="s">
        <v>49</v>
      </c>
      <c r="G20" s="12"/>
      <c r="H20" s="12"/>
      <c r="I20" s="12"/>
      <c r="J20" s="12"/>
      <c r="K20" s="12"/>
      <c r="L20" s="12"/>
      <c r="M20" s="12"/>
      <c r="N20" s="12"/>
      <c r="O20" s="12"/>
      <c r="P20" s="12"/>
    </row>
    <row r="21" spans="1:19" ht="16" hidden="1" x14ac:dyDescent="0.2">
      <c r="A21" s="76" t="s">
        <v>572</v>
      </c>
      <c r="C21" s="130">
        <v>3</v>
      </c>
      <c r="D21" s="13">
        <f t="shared" ref="D21:D23" si="4">COUNTIF(G21:P21,"X")</f>
        <v>0</v>
      </c>
      <c r="E21" s="33">
        <f>IF(D21&gt;C21,1,IFERROR(D21/C21,""))</f>
        <v>0</v>
      </c>
      <c r="G21" s="13"/>
      <c r="H21" s="13"/>
      <c r="I21" s="13"/>
      <c r="J21" s="137"/>
      <c r="K21" s="13"/>
      <c r="L21" s="137"/>
      <c r="M21" s="13"/>
      <c r="N21" s="13"/>
      <c r="O21" s="13"/>
      <c r="P21" s="13"/>
      <c r="R21" s="126"/>
    </row>
    <row r="22" spans="1:19" ht="16" hidden="1" x14ac:dyDescent="0.2">
      <c r="A22" s="76" t="s">
        <v>573</v>
      </c>
      <c r="C22" s="130">
        <v>10</v>
      </c>
      <c r="D22" s="13">
        <f t="shared" si="4"/>
        <v>0</v>
      </c>
      <c r="E22" s="33">
        <f>IF(D22&gt;C22,1,IFERROR(D22/C22,""))</f>
        <v>0</v>
      </c>
      <c r="G22" s="137"/>
      <c r="H22" s="137"/>
      <c r="I22" s="137"/>
      <c r="J22" s="137"/>
      <c r="K22" s="137"/>
      <c r="L22" s="137"/>
      <c r="M22" s="137"/>
      <c r="N22" s="137"/>
      <c r="O22" s="137"/>
      <c r="P22" s="137"/>
    </row>
    <row r="23" spans="1:19" ht="16" hidden="1" x14ac:dyDescent="0.2">
      <c r="A23" s="76" t="s">
        <v>574</v>
      </c>
      <c r="C23" s="130">
        <v>10</v>
      </c>
      <c r="D23" s="13">
        <f t="shared" si="4"/>
        <v>0</v>
      </c>
      <c r="E23" s="33">
        <f>IF(D23&gt;C23,1,IFERROR(D23/C23,""))</f>
        <v>0</v>
      </c>
      <c r="G23" s="137"/>
      <c r="H23" s="137"/>
      <c r="I23" s="137"/>
      <c r="J23" s="137"/>
      <c r="K23" s="137"/>
      <c r="L23" s="137"/>
      <c r="M23" s="137"/>
      <c r="N23" s="137"/>
      <c r="O23" s="137"/>
      <c r="P23" s="137"/>
    </row>
    <row r="24" spans="1:19" ht="16" hidden="1" x14ac:dyDescent="0.2">
      <c r="A24" s="76"/>
      <c r="C24" s="130"/>
      <c r="D24" s="13"/>
      <c r="E24" s="13"/>
      <c r="G24" s="13"/>
      <c r="H24" s="13"/>
      <c r="I24" s="13"/>
      <c r="J24" s="13"/>
      <c r="K24" s="13"/>
      <c r="L24" s="133"/>
      <c r="M24" s="13"/>
      <c r="N24" s="13"/>
      <c r="O24" s="13"/>
      <c r="P24" s="13"/>
    </row>
    <row r="25" spans="1:19" ht="16" hidden="1" x14ac:dyDescent="0.2">
      <c r="A25" s="127"/>
      <c r="C25" s="130"/>
      <c r="D25" s="13"/>
      <c r="E25" s="13"/>
      <c r="G25" s="13"/>
      <c r="H25" s="13"/>
      <c r="I25" s="13"/>
      <c r="J25" s="13"/>
      <c r="K25" s="13"/>
      <c r="L25" s="133"/>
      <c r="M25" s="13"/>
      <c r="N25" s="13"/>
      <c r="O25" s="13"/>
      <c r="P25" s="13"/>
      <c r="R25" s="126"/>
    </row>
    <row r="26" spans="1:19" ht="16" x14ac:dyDescent="0.2">
      <c r="A26" s="127"/>
      <c r="C26" s="127"/>
      <c r="G26" s="129"/>
      <c r="N26" s="118"/>
      <c r="O26" s="118"/>
    </row>
    <row r="27" spans="1:19" ht="16" x14ac:dyDescent="0.2">
      <c r="A27" s="7"/>
      <c r="N27" s="118"/>
      <c r="O27" s="118"/>
    </row>
    <row r="28" spans="1:19" ht="16" x14ac:dyDescent="0.2">
      <c r="A28" s="78" t="s">
        <v>575</v>
      </c>
      <c r="B28" s="80"/>
      <c r="C28" s="124" t="s">
        <v>553</v>
      </c>
      <c r="D28" s="124" t="s">
        <v>554</v>
      </c>
      <c r="E28" s="124" t="s">
        <v>49</v>
      </c>
      <c r="G28" s="12" t="s">
        <v>555</v>
      </c>
      <c r="H28" s="12" t="s">
        <v>556</v>
      </c>
      <c r="I28" s="12" t="s">
        <v>557</v>
      </c>
      <c r="J28" s="12" t="s">
        <v>558</v>
      </c>
      <c r="K28" s="12" t="s">
        <v>50</v>
      </c>
      <c r="L28" s="12" t="s">
        <v>3</v>
      </c>
      <c r="M28" s="12" t="s">
        <v>559</v>
      </c>
      <c r="N28" s="12" t="s">
        <v>560</v>
      </c>
      <c r="O28" s="12"/>
    </row>
    <row r="29" spans="1:19" ht="16" x14ac:dyDescent="0.2">
      <c r="A29" s="127" t="s">
        <v>588</v>
      </c>
      <c r="C29" s="130">
        <v>5</v>
      </c>
      <c r="D29" s="13">
        <f t="shared" ref="D29:D35" si="5">COUNTIF(G29:P29,"X")</f>
        <v>2</v>
      </c>
      <c r="E29" s="33">
        <f>IF(D29&gt;C29,1,IFERROR(D29/C29,""))</f>
        <v>0.4</v>
      </c>
      <c r="G29" s="13" t="s">
        <v>53</v>
      </c>
      <c r="H29" s="13" t="s">
        <v>53</v>
      </c>
      <c r="I29" s="13"/>
      <c r="J29" s="13"/>
      <c r="K29" s="132"/>
      <c r="L29" s="132"/>
      <c r="M29" s="136"/>
      <c r="N29" s="132"/>
      <c r="O29" s="132"/>
      <c r="R29" s="126"/>
    </row>
    <row r="30" spans="1:19" ht="16" x14ac:dyDescent="0.2">
      <c r="A30" s="127" t="s">
        <v>577</v>
      </c>
      <c r="C30" s="130">
        <v>4</v>
      </c>
      <c r="D30" s="13">
        <f t="shared" si="5"/>
        <v>3</v>
      </c>
      <c r="E30" s="33">
        <f>IF(D30&gt;C30,1,IFERROR(D30/C30,""))</f>
        <v>0.75</v>
      </c>
      <c r="G30" s="13" t="s">
        <v>53</v>
      </c>
      <c r="H30" s="13" t="s">
        <v>53</v>
      </c>
      <c r="I30" s="13"/>
      <c r="J30" s="13"/>
      <c r="K30" s="132"/>
      <c r="L30" s="132" t="s">
        <v>53</v>
      </c>
      <c r="M30" s="132"/>
      <c r="N30" s="132"/>
      <c r="O30" s="132"/>
      <c r="R30" s="126"/>
    </row>
    <row r="31" spans="1:19" ht="17" x14ac:dyDescent="0.2">
      <c r="A31" s="131" t="s">
        <v>589</v>
      </c>
      <c r="C31" s="130">
        <v>5</v>
      </c>
      <c r="D31" s="13">
        <f t="shared" si="5"/>
        <v>1</v>
      </c>
      <c r="E31" s="33">
        <f>IF(D31&gt;C31,1,IFERROR(D31/C31,""))</f>
        <v>0.2</v>
      </c>
      <c r="G31" s="13"/>
      <c r="H31" s="13"/>
      <c r="I31" s="13"/>
      <c r="J31" s="13"/>
      <c r="K31" s="132"/>
      <c r="L31" s="13" t="s">
        <v>53</v>
      </c>
      <c r="M31" s="13"/>
      <c r="N31" s="13"/>
      <c r="O31" s="13"/>
      <c r="R31" s="126"/>
    </row>
    <row r="32" spans="1:19" x14ac:dyDescent="0.2">
      <c r="C32" s="130">
        <v>3</v>
      </c>
      <c r="D32" s="13">
        <f t="shared" si="5"/>
        <v>0</v>
      </c>
      <c r="E32" s="33">
        <f>IF(D32&gt;C32,1,IFERROR(D32/C32,""))</f>
        <v>0</v>
      </c>
      <c r="G32" s="13"/>
      <c r="H32" s="13"/>
      <c r="I32" s="13"/>
      <c r="J32" s="13"/>
      <c r="K32" s="132"/>
      <c r="L32" s="13"/>
      <c r="M32" s="13"/>
      <c r="N32" s="13"/>
      <c r="O32" s="13"/>
      <c r="P32" s="126"/>
    </row>
    <row r="33" spans="1:16" ht="16" x14ac:dyDescent="0.2">
      <c r="A33" s="127"/>
      <c r="C33" s="130">
        <v>6</v>
      </c>
      <c r="D33" s="13">
        <f t="shared" si="5"/>
        <v>0</v>
      </c>
      <c r="E33" s="33">
        <f t="shared" ref="E33:E35" si="6">IF(D33&gt;C33,1,IFERROR(D33/C33,""))</f>
        <v>0</v>
      </c>
      <c r="G33" s="13"/>
      <c r="H33" s="13"/>
      <c r="I33" s="13"/>
      <c r="J33" s="13"/>
      <c r="K33" s="132"/>
      <c r="L33" s="13"/>
      <c r="M33" s="13"/>
      <c r="N33" s="13"/>
      <c r="O33" s="13"/>
      <c r="P33" s="126"/>
    </row>
    <row r="34" spans="1:16" ht="16" x14ac:dyDescent="0.2">
      <c r="A34" s="127"/>
      <c r="C34" s="130">
        <v>9</v>
      </c>
      <c r="D34" s="13">
        <f t="shared" si="5"/>
        <v>0</v>
      </c>
      <c r="E34" s="33">
        <f t="shared" si="6"/>
        <v>0</v>
      </c>
      <c r="G34" s="13"/>
      <c r="H34" s="13"/>
      <c r="I34" s="13"/>
      <c r="J34" s="13"/>
      <c r="K34" s="132"/>
      <c r="L34" s="13"/>
      <c r="M34" s="13"/>
      <c r="N34" s="13"/>
      <c r="O34" s="13"/>
    </row>
    <row r="35" spans="1:16" ht="16" x14ac:dyDescent="0.2">
      <c r="A35" s="127"/>
      <c r="C35" s="130">
        <v>1</v>
      </c>
      <c r="D35" s="13">
        <f t="shared" si="5"/>
        <v>0</v>
      </c>
      <c r="E35" s="33">
        <f t="shared" si="6"/>
        <v>0</v>
      </c>
      <c r="G35" s="13"/>
      <c r="H35" s="13"/>
      <c r="I35" s="13"/>
      <c r="J35" s="13"/>
      <c r="K35" s="132"/>
      <c r="L35" s="13"/>
      <c r="M35" s="13"/>
      <c r="N35" s="13"/>
      <c r="O35" s="13"/>
    </row>
    <row r="36" spans="1:16" x14ac:dyDescent="0.2"/>
  </sheetData>
  <conditionalFormatting sqref="E5:E10 E13:E18 E21:E23">
    <cfRule type="cellIs" dxfId="197" priority="21" operator="between">
      <formula>0</formula>
      <formula>0.64</formula>
    </cfRule>
    <cfRule type="cellIs" dxfId="196" priority="22" operator="between">
      <formula>0.64</formula>
      <formula>0.8</formula>
    </cfRule>
    <cfRule type="cellIs" dxfId="195" priority="23" operator="between">
      <formula>0.79</formula>
      <formula>0.9</formula>
    </cfRule>
    <cfRule type="cellIs" dxfId="194" priority="24" operator="between">
      <formula>0.89</formula>
      <formula>1</formula>
    </cfRule>
  </conditionalFormatting>
  <conditionalFormatting sqref="E29:E35">
    <cfRule type="cellIs" dxfId="193" priority="15" operator="between">
      <formula>0</formula>
      <formula>0.64</formula>
    </cfRule>
    <cfRule type="cellIs" dxfId="192" priority="16" operator="between">
      <formula>0.64</formula>
      <formula>0.8</formula>
    </cfRule>
    <cfRule type="cellIs" dxfId="191" priority="17" operator="between">
      <formula>0.79</formula>
      <formula>0.9</formula>
    </cfRule>
    <cfRule type="cellIs" dxfId="190" priority="18" operator="between">
      <formula>0.89</formula>
      <formula>1</formula>
    </cfRule>
  </conditionalFormatting>
  <conditionalFormatting sqref="G13:H13 G14:J18 L16:L18">
    <cfRule type="cellIs" dxfId="189" priority="6" operator="equal">
      <formula>"x"</formula>
    </cfRule>
  </conditionalFormatting>
  <conditionalFormatting sqref="G5:O11">
    <cfRule type="cellIs" dxfId="188" priority="13" operator="equal">
      <formula>1</formula>
    </cfRule>
  </conditionalFormatting>
  <conditionalFormatting sqref="G19:O19 G26:O27 G29:O36">
    <cfRule type="cellIs" dxfId="187" priority="19" operator="equal">
      <formula>"x"</formula>
    </cfRule>
  </conditionalFormatting>
  <conditionalFormatting sqref="G20:P25 G28:K28">
    <cfRule type="cellIs" dxfId="186" priority="14" operator="equal">
      <formula>"x"</formula>
    </cfRule>
  </conditionalFormatting>
  <conditionalFormatting sqref="G12:Q12 M13 O13:Q13 L14:Q15">
    <cfRule type="cellIs" dxfId="185" priority="8" operator="equal">
      <formula>"x"</formula>
    </cfRule>
  </conditionalFormatting>
  <conditionalFormatting sqref="H4:K4 G4:G6">
    <cfRule type="cellIs" dxfId="184" priority="20" operator="equal">
      <formula>1</formula>
    </cfRule>
  </conditionalFormatting>
  <conditionalFormatting sqref="I13:J13">
    <cfRule type="cellIs" dxfId="183" priority="3" operator="equal">
      <formula>1</formula>
    </cfRule>
  </conditionalFormatting>
  <conditionalFormatting sqref="K13:K18">
    <cfRule type="cellIs" dxfId="182" priority="5" operator="equal">
      <formula>1</formula>
    </cfRule>
  </conditionalFormatting>
  <conditionalFormatting sqref="L13">
    <cfRule type="cellIs" dxfId="181" priority="2" operator="equal">
      <formula>1</formula>
    </cfRule>
  </conditionalFormatting>
  <conditionalFormatting sqref="M16:M17">
    <cfRule type="cellIs" dxfId="180" priority="11" operator="equal">
      <formula>1</formula>
    </cfRule>
  </conditionalFormatting>
  <conditionalFormatting sqref="M18:N18">
    <cfRule type="cellIs" dxfId="179" priority="10" operator="equal">
      <formula>1</formula>
    </cfRule>
  </conditionalFormatting>
  <conditionalFormatting sqref="N13">
    <cfRule type="cellIs" dxfId="178" priority="1" operator="equal">
      <formula>1</formula>
    </cfRule>
  </conditionalFormatting>
  <conditionalFormatting sqref="N16:P17">
    <cfRule type="cellIs" dxfId="177" priority="7" operator="equal">
      <formula>"x"</formula>
    </cfRule>
  </conditionalFormatting>
  <conditionalFormatting sqref="O18:P18">
    <cfRule type="cellIs" dxfId="176" priority="9" operator="equal">
      <formula>"x"</formula>
    </cfRule>
  </conditionalFormatting>
  <conditionalFormatting sqref="Q16:Q18">
    <cfRule type="cellIs" dxfId="175" priority="12" operator="equal">
      <formula>1</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5FD2-9FD7-42C1-9408-86D633A42C31}">
  <dimension ref="A2:Z36"/>
  <sheetViews>
    <sheetView showGridLines="0" zoomScale="87" zoomScaleNormal="70" workbookViewId="0">
      <selection activeCell="K18" sqref="K18"/>
    </sheetView>
  </sheetViews>
  <sheetFormatPr baseColWidth="10" defaultColWidth="9.1640625" defaultRowHeight="15" customHeight="1" x14ac:dyDescent="0.2"/>
  <cols>
    <col min="1" max="1" width="51.5" customWidth="1"/>
    <col min="2" max="2" width="11.5" customWidth="1"/>
    <col min="3" max="3" width="13.5" customWidth="1"/>
    <col min="4" max="4" width="11.5" customWidth="1"/>
    <col min="5" max="5" width="12.1640625" customWidth="1"/>
    <col min="6" max="6" width="3.5" customWidth="1"/>
    <col min="7" max="17" width="10.5" customWidth="1"/>
  </cols>
  <sheetData>
    <row r="2" spans="1:26" ht="19" x14ac:dyDescent="0.25">
      <c r="A2" s="122" t="s">
        <v>551</v>
      </c>
    </row>
    <row r="3" spans="1:26" x14ac:dyDescent="0.2"/>
    <row r="4" spans="1:26" ht="16" x14ac:dyDescent="0.2">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R4" s="124" t="s">
        <v>561</v>
      </c>
      <c r="S4" s="124"/>
      <c r="T4" s="124"/>
      <c r="U4" s="124"/>
      <c r="V4" s="124"/>
      <c r="W4" s="124"/>
      <c r="X4" s="124"/>
      <c r="Y4" s="124"/>
      <c r="Z4" s="124"/>
    </row>
    <row r="5" spans="1:26" ht="16" x14ac:dyDescent="0.2">
      <c r="A5" s="127" t="s">
        <v>581</v>
      </c>
      <c r="B5" s="7"/>
      <c r="C5" s="128">
        <v>9</v>
      </c>
      <c r="D5" s="32">
        <f>SUM(G5:P5)</f>
        <v>7</v>
      </c>
      <c r="E5" s="33">
        <f>IF(D5&gt;C5,1,IFERROR(D5/C5,""))</f>
        <v>0.77777777777777779</v>
      </c>
      <c r="F5" s="7"/>
      <c r="G5" s="13">
        <v>4</v>
      </c>
      <c r="H5" s="13"/>
      <c r="I5" s="13">
        <v>2</v>
      </c>
      <c r="J5" s="13"/>
      <c r="K5" s="132"/>
      <c r="L5" s="132"/>
      <c r="M5" s="13">
        <v>1</v>
      </c>
      <c r="N5" s="13"/>
      <c r="O5" s="13"/>
    </row>
    <row r="6" spans="1:26" ht="16" x14ac:dyDescent="0.2">
      <c r="A6" s="127" t="s">
        <v>582</v>
      </c>
      <c r="B6" s="7"/>
      <c r="C6" s="128">
        <v>9</v>
      </c>
      <c r="D6" s="32">
        <f>SUM(G6:P6)</f>
        <v>28</v>
      </c>
      <c r="E6" s="33">
        <f>IF(D6&gt;C6,1,IFERROR(D6/C6,""))</f>
        <v>1</v>
      </c>
      <c r="F6" s="7"/>
      <c r="G6" s="13">
        <v>5</v>
      </c>
      <c r="H6" s="13">
        <v>7</v>
      </c>
      <c r="I6" s="13">
        <v>6</v>
      </c>
      <c r="J6" s="13"/>
      <c r="K6" s="132"/>
      <c r="L6" s="132"/>
      <c r="M6" s="13">
        <v>8</v>
      </c>
      <c r="N6" s="136">
        <v>2</v>
      </c>
      <c r="O6" s="136"/>
    </row>
    <row r="7" spans="1:26" ht="16" x14ac:dyDescent="0.2">
      <c r="A7" s="127" t="s">
        <v>583</v>
      </c>
      <c r="C7" s="128">
        <v>7</v>
      </c>
      <c r="D7" s="32">
        <f>SUM(G7:P7)</f>
        <v>0</v>
      </c>
      <c r="E7" s="33">
        <f>IF(D7&gt;C7,1,IFERROR(D7/C7,""))</f>
        <v>0</v>
      </c>
      <c r="G7" s="136"/>
      <c r="H7" s="136"/>
      <c r="I7" s="136"/>
      <c r="J7" s="136"/>
      <c r="K7" s="132"/>
      <c r="L7" s="132"/>
      <c r="M7" s="136"/>
      <c r="N7" s="13"/>
      <c r="O7" s="13"/>
      <c r="R7" s="125"/>
    </row>
    <row r="8" spans="1:26" ht="16" x14ac:dyDescent="0.2">
      <c r="A8" s="127" t="s">
        <v>584</v>
      </c>
      <c r="C8" s="128">
        <v>7</v>
      </c>
      <c r="D8" s="32">
        <f t="shared" ref="D8:D9" si="0">SUM(G8:P8)</f>
        <v>5</v>
      </c>
      <c r="E8" s="33">
        <f t="shared" ref="E8:E9" si="1">IF(D8&gt;C8,1,IFERROR(D8/C8,""))</f>
        <v>0.7142857142857143</v>
      </c>
      <c r="G8" s="136">
        <v>1</v>
      </c>
      <c r="H8" s="136">
        <v>1</v>
      </c>
      <c r="I8" s="136">
        <v>1</v>
      </c>
      <c r="J8" s="136">
        <v>1</v>
      </c>
      <c r="K8" s="132"/>
      <c r="L8" s="132"/>
      <c r="M8" s="136">
        <v>1</v>
      </c>
      <c r="N8" s="13"/>
      <c r="O8" s="13"/>
      <c r="R8" s="125"/>
    </row>
    <row r="9" spans="1:26" ht="16" x14ac:dyDescent="0.2">
      <c r="A9" s="127" t="s">
        <v>585</v>
      </c>
      <c r="C9" s="128">
        <v>2</v>
      </c>
      <c r="D9" s="32">
        <f t="shared" si="0"/>
        <v>2</v>
      </c>
      <c r="E9" s="33">
        <f t="shared" si="1"/>
        <v>1</v>
      </c>
      <c r="G9" s="136">
        <v>1</v>
      </c>
      <c r="H9" s="136">
        <v>1</v>
      </c>
      <c r="I9" s="136"/>
      <c r="J9" s="136"/>
      <c r="K9" s="132"/>
      <c r="L9" s="132"/>
      <c r="M9" s="136"/>
      <c r="N9" s="13"/>
      <c r="O9" s="13"/>
      <c r="R9" s="125"/>
    </row>
    <row r="10" spans="1:26" ht="16" x14ac:dyDescent="0.2">
      <c r="A10" s="127" t="s">
        <v>586</v>
      </c>
      <c r="B10" s="7"/>
      <c r="C10" s="128">
        <v>7</v>
      </c>
      <c r="D10" s="32">
        <f>SUM(G10:P10)</f>
        <v>2</v>
      </c>
      <c r="E10" s="33">
        <f>IF(D10&gt;C10,1,IFERROR(D10/C10,""))</f>
        <v>0.2857142857142857</v>
      </c>
      <c r="F10" s="7"/>
      <c r="G10" s="13">
        <v>1</v>
      </c>
      <c r="H10" s="13"/>
      <c r="I10" s="13"/>
      <c r="J10" s="13"/>
      <c r="K10" s="132"/>
      <c r="L10" s="132"/>
      <c r="M10" s="13">
        <v>1</v>
      </c>
      <c r="N10" s="13"/>
      <c r="O10" s="13"/>
    </row>
    <row r="11" spans="1:26" ht="16" x14ac:dyDescent="0.2">
      <c r="C11" s="123"/>
      <c r="P11" s="76"/>
      <c r="S11" s="76"/>
    </row>
    <row r="12" spans="1:26" ht="16" x14ac:dyDescent="0.2">
      <c r="A12" s="10" t="s">
        <v>564</v>
      </c>
      <c r="B12" s="3"/>
      <c r="C12" s="124" t="s">
        <v>553</v>
      </c>
      <c r="D12" s="124" t="s">
        <v>554</v>
      </c>
      <c r="E12" s="124" t="s">
        <v>49</v>
      </c>
      <c r="G12" s="12" t="s">
        <v>555</v>
      </c>
      <c r="H12" s="12" t="s">
        <v>556</v>
      </c>
      <c r="I12" s="12" t="s">
        <v>557</v>
      </c>
      <c r="J12" s="12" t="s">
        <v>558</v>
      </c>
      <c r="K12" s="12" t="s">
        <v>1</v>
      </c>
      <c r="L12" s="12" t="s">
        <v>50</v>
      </c>
      <c r="M12" s="12" t="s">
        <v>3</v>
      </c>
      <c r="N12" s="12" t="s">
        <v>559</v>
      </c>
      <c r="O12" s="12" t="s">
        <v>560</v>
      </c>
      <c r="P12" s="12"/>
      <c r="Q12" s="12"/>
      <c r="R12" s="76"/>
      <c r="S12" s="76"/>
    </row>
    <row r="13" spans="1:26" ht="16" x14ac:dyDescent="0.2">
      <c r="A13" s="76" t="s">
        <v>587</v>
      </c>
      <c r="C13" s="130">
        <v>6</v>
      </c>
      <c r="D13" s="13">
        <f t="shared" ref="D13:D18" si="2">COUNTIF(G13:P13,"X")</f>
        <v>2</v>
      </c>
      <c r="E13" s="33">
        <f t="shared" ref="E13:E17" si="3">IF(D13&gt;C13,1,IFERROR(D13/C13,""))</f>
        <v>0.33333333333333331</v>
      </c>
      <c r="G13" s="13"/>
      <c r="H13" s="13"/>
      <c r="I13" s="13" t="s">
        <v>53</v>
      </c>
      <c r="J13" s="13" t="s">
        <v>53</v>
      </c>
      <c r="K13" s="132"/>
      <c r="L13" s="132"/>
      <c r="M13" s="13"/>
      <c r="N13" s="13"/>
      <c r="O13" s="13"/>
      <c r="P13" s="136"/>
      <c r="Q13" s="132"/>
      <c r="S13" s="76"/>
    </row>
    <row r="14" spans="1:26" ht="16" x14ac:dyDescent="0.2">
      <c r="A14" s="76" t="s">
        <v>566</v>
      </c>
      <c r="C14" s="130">
        <v>5</v>
      </c>
      <c r="D14" s="13">
        <f t="shared" si="2"/>
        <v>5</v>
      </c>
      <c r="E14" s="33">
        <f t="shared" si="3"/>
        <v>1</v>
      </c>
      <c r="G14" s="13" t="s">
        <v>53</v>
      </c>
      <c r="H14" s="13" t="s">
        <v>53</v>
      </c>
      <c r="I14" s="13" t="s">
        <v>53</v>
      </c>
      <c r="J14" s="13" t="s">
        <v>53</v>
      </c>
      <c r="K14" s="132"/>
      <c r="L14" s="132"/>
      <c r="M14" s="13" t="s">
        <v>53</v>
      </c>
      <c r="N14" s="132"/>
      <c r="O14" s="132"/>
      <c r="P14" s="132"/>
      <c r="Q14" s="132"/>
      <c r="S14" s="76"/>
    </row>
    <row r="15" spans="1:26" ht="16" x14ac:dyDescent="0.2">
      <c r="A15" s="76" t="s">
        <v>567</v>
      </c>
      <c r="C15" s="130">
        <v>5</v>
      </c>
      <c r="D15" s="13">
        <f t="shared" si="2"/>
        <v>5</v>
      </c>
      <c r="E15" s="33">
        <f t="shared" si="3"/>
        <v>1</v>
      </c>
      <c r="G15" s="13" t="s">
        <v>53</v>
      </c>
      <c r="H15" s="13" t="s">
        <v>53</v>
      </c>
      <c r="I15" s="13" t="s">
        <v>53</v>
      </c>
      <c r="J15" s="13" t="s">
        <v>53</v>
      </c>
      <c r="K15" s="132"/>
      <c r="L15" s="132"/>
      <c r="M15" s="13" t="s">
        <v>53</v>
      </c>
      <c r="N15" s="13"/>
      <c r="O15" s="13"/>
      <c r="P15" s="132"/>
      <c r="Q15" s="132"/>
      <c r="S15" s="76"/>
    </row>
    <row r="16" spans="1:26" ht="16" x14ac:dyDescent="0.2">
      <c r="A16" s="76" t="s">
        <v>568</v>
      </c>
      <c r="C16" s="130">
        <v>5</v>
      </c>
      <c r="D16" s="13">
        <f t="shared" si="2"/>
        <v>5</v>
      </c>
      <c r="E16" s="33">
        <f t="shared" si="3"/>
        <v>1</v>
      </c>
      <c r="G16" s="13" t="s">
        <v>53</v>
      </c>
      <c r="H16" s="13" t="s">
        <v>53</v>
      </c>
      <c r="I16" s="13" t="s">
        <v>53</v>
      </c>
      <c r="J16" s="13" t="s">
        <v>53</v>
      </c>
      <c r="K16" s="132"/>
      <c r="L16" s="132"/>
      <c r="M16" s="13" t="s">
        <v>53</v>
      </c>
      <c r="N16" s="13"/>
      <c r="O16" s="13"/>
      <c r="P16" s="13"/>
      <c r="Q16" s="132"/>
      <c r="R16" s="125"/>
      <c r="S16" s="76"/>
    </row>
    <row r="17" spans="1:19" ht="16" x14ac:dyDescent="0.2">
      <c r="A17" s="76" t="s">
        <v>569</v>
      </c>
      <c r="C17" s="130">
        <v>5</v>
      </c>
      <c r="D17" s="13">
        <f t="shared" si="2"/>
        <v>4</v>
      </c>
      <c r="E17" s="33">
        <f t="shared" si="3"/>
        <v>0.8</v>
      </c>
      <c r="G17" s="13" t="s">
        <v>53</v>
      </c>
      <c r="H17" s="13" t="s">
        <v>53</v>
      </c>
      <c r="I17" s="13" t="s">
        <v>53</v>
      </c>
      <c r="J17" s="13" t="s">
        <v>53</v>
      </c>
      <c r="K17" s="132"/>
      <c r="L17" s="132"/>
      <c r="M17" s="13"/>
      <c r="N17" s="13"/>
      <c r="O17" s="13"/>
      <c r="P17" s="132"/>
      <c r="Q17" s="132"/>
      <c r="R17" s="126"/>
      <c r="S17" s="76"/>
    </row>
    <row r="18" spans="1:19" ht="16" x14ac:dyDescent="0.2">
      <c r="A18" s="76" t="s">
        <v>570</v>
      </c>
      <c r="C18" s="130">
        <v>5</v>
      </c>
      <c r="D18" s="13">
        <f t="shared" si="2"/>
        <v>2</v>
      </c>
      <c r="E18" s="33">
        <f>IF(D18&gt;C18,1,IFERROR(D18/C18,""))</f>
        <v>0.4</v>
      </c>
      <c r="G18" s="13"/>
      <c r="H18" s="13"/>
      <c r="I18" s="13" t="s">
        <v>53</v>
      </c>
      <c r="J18" s="13" t="s">
        <v>53</v>
      </c>
      <c r="K18" s="132"/>
      <c r="L18" s="132"/>
      <c r="M18" s="13"/>
      <c r="N18" s="13"/>
      <c r="O18" s="13"/>
      <c r="P18" s="13"/>
      <c r="Q18" s="132"/>
      <c r="S18" s="7"/>
    </row>
    <row r="19" spans="1:19" x14ac:dyDescent="0.2"/>
    <row r="20" spans="1:19" ht="16" hidden="1" x14ac:dyDescent="0.2">
      <c r="A20" s="78" t="s">
        <v>571</v>
      </c>
      <c r="B20" s="80"/>
      <c r="C20" s="124" t="s">
        <v>553</v>
      </c>
      <c r="D20" s="124" t="s">
        <v>554</v>
      </c>
      <c r="E20" s="124" t="s">
        <v>49</v>
      </c>
      <c r="G20" s="12"/>
      <c r="H20" s="12"/>
      <c r="I20" s="12"/>
      <c r="J20" s="12"/>
      <c r="K20" s="12"/>
      <c r="L20" s="12"/>
      <c r="M20" s="12"/>
      <c r="N20" s="12"/>
      <c r="O20" s="12"/>
      <c r="P20" s="12"/>
    </row>
    <row r="21" spans="1:19" ht="16" hidden="1" x14ac:dyDescent="0.2">
      <c r="A21" s="76" t="s">
        <v>572</v>
      </c>
      <c r="C21" s="130">
        <v>3</v>
      </c>
      <c r="D21" s="13">
        <f t="shared" ref="D21:D23" si="4">COUNTIF(G21:P21,"X")</f>
        <v>0</v>
      </c>
      <c r="E21" s="33">
        <f>IF(D21&gt;C21,1,IFERROR(D21/C21,""))</f>
        <v>0</v>
      </c>
      <c r="G21" s="13"/>
      <c r="H21" s="13"/>
      <c r="I21" s="13"/>
      <c r="J21" s="137"/>
      <c r="K21" s="13"/>
      <c r="L21" s="137"/>
      <c r="M21" s="13"/>
      <c r="N21" s="13"/>
      <c r="O21" s="13"/>
      <c r="P21" s="13"/>
      <c r="R21" s="126"/>
    </row>
    <row r="22" spans="1:19" ht="16" hidden="1" x14ac:dyDescent="0.2">
      <c r="A22" s="76" t="s">
        <v>573</v>
      </c>
      <c r="C22" s="130">
        <v>10</v>
      </c>
      <c r="D22" s="13">
        <f t="shared" si="4"/>
        <v>0</v>
      </c>
      <c r="E22" s="33">
        <f>IF(D22&gt;C22,1,IFERROR(D22/C22,""))</f>
        <v>0</v>
      </c>
      <c r="G22" s="137"/>
      <c r="H22" s="137"/>
      <c r="I22" s="137"/>
      <c r="J22" s="137"/>
      <c r="K22" s="137"/>
      <c r="L22" s="137"/>
      <c r="M22" s="137"/>
      <c r="N22" s="137"/>
      <c r="O22" s="137"/>
      <c r="P22" s="137"/>
    </row>
    <row r="23" spans="1:19" ht="16" hidden="1" x14ac:dyDescent="0.2">
      <c r="A23" s="76" t="s">
        <v>574</v>
      </c>
      <c r="C23" s="130">
        <v>10</v>
      </c>
      <c r="D23" s="13">
        <f t="shared" si="4"/>
        <v>0</v>
      </c>
      <c r="E23" s="33">
        <f>IF(D23&gt;C23,1,IFERROR(D23/C23,""))</f>
        <v>0</v>
      </c>
      <c r="G23" s="137"/>
      <c r="H23" s="137"/>
      <c r="I23" s="137"/>
      <c r="J23" s="137"/>
      <c r="K23" s="137"/>
      <c r="L23" s="137"/>
      <c r="M23" s="137"/>
      <c r="N23" s="137"/>
      <c r="O23" s="137"/>
      <c r="P23" s="137"/>
    </row>
    <row r="24" spans="1:19" ht="16" hidden="1" x14ac:dyDescent="0.2">
      <c r="A24" s="76"/>
      <c r="C24" s="130"/>
      <c r="D24" s="13"/>
      <c r="E24" s="13"/>
      <c r="G24" s="13"/>
      <c r="H24" s="13"/>
      <c r="I24" s="13"/>
      <c r="J24" s="13"/>
      <c r="K24" s="13"/>
      <c r="L24" s="133"/>
      <c r="M24" s="13"/>
      <c r="N24" s="13"/>
      <c r="O24" s="13"/>
      <c r="P24" s="13"/>
    </row>
    <row r="25" spans="1:19" ht="16" hidden="1" x14ac:dyDescent="0.2">
      <c r="A25" s="127"/>
      <c r="C25" s="130"/>
      <c r="D25" s="13"/>
      <c r="E25" s="13"/>
      <c r="G25" s="13"/>
      <c r="H25" s="13"/>
      <c r="I25" s="13"/>
      <c r="J25" s="13"/>
      <c r="K25" s="13"/>
      <c r="L25" s="133"/>
      <c r="M25" s="13"/>
      <c r="N25" s="13"/>
      <c r="O25" s="13"/>
      <c r="P25" s="13"/>
      <c r="R25" s="126"/>
    </row>
    <row r="26" spans="1:19" ht="16" x14ac:dyDescent="0.2">
      <c r="A26" s="127"/>
      <c r="C26" s="127"/>
      <c r="G26" s="129"/>
      <c r="N26" s="118"/>
      <c r="O26" s="118"/>
    </row>
    <row r="27" spans="1:19" ht="16" x14ac:dyDescent="0.2">
      <c r="A27" s="7"/>
      <c r="N27" s="118"/>
      <c r="O27" s="118"/>
    </row>
    <row r="28" spans="1:19" ht="16" x14ac:dyDescent="0.2">
      <c r="A28" s="78" t="s">
        <v>575</v>
      </c>
      <c r="B28" s="80"/>
      <c r="C28" s="124" t="s">
        <v>553</v>
      </c>
      <c r="D28" s="124" t="s">
        <v>554</v>
      </c>
      <c r="E28" s="124" t="s">
        <v>49</v>
      </c>
      <c r="G28" s="12" t="s">
        <v>555</v>
      </c>
      <c r="H28" s="12" t="s">
        <v>556</v>
      </c>
      <c r="I28" s="12" t="s">
        <v>557</v>
      </c>
      <c r="J28" s="12" t="s">
        <v>558</v>
      </c>
      <c r="K28" s="12" t="s">
        <v>1</v>
      </c>
      <c r="L28" s="12" t="s">
        <v>50</v>
      </c>
      <c r="M28" s="12" t="s">
        <v>3</v>
      </c>
      <c r="N28" s="12" t="s">
        <v>559</v>
      </c>
      <c r="O28" s="12" t="s">
        <v>560</v>
      </c>
    </row>
    <row r="29" spans="1:19" ht="16" x14ac:dyDescent="0.2">
      <c r="A29" s="127" t="s">
        <v>590</v>
      </c>
      <c r="C29" s="130">
        <v>5</v>
      </c>
      <c r="D29" s="13">
        <f>COUNTIF(G29:P29,"X")</f>
        <v>2</v>
      </c>
      <c r="E29" s="33">
        <f>IF(D29&gt;C29,1,IFERROR(D29/C29,""))</f>
        <v>0.4</v>
      </c>
      <c r="G29" s="13" t="s">
        <v>53</v>
      </c>
      <c r="H29" s="13" t="s">
        <v>53</v>
      </c>
      <c r="I29" s="13"/>
      <c r="J29" s="13"/>
      <c r="K29" s="13"/>
      <c r="L29" s="132"/>
      <c r="M29" s="136"/>
      <c r="N29" s="132"/>
      <c r="O29" s="132"/>
      <c r="R29" s="126"/>
    </row>
    <row r="30" spans="1:19" ht="16" x14ac:dyDescent="0.2">
      <c r="A30" s="127" t="s">
        <v>577</v>
      </c>
      <c r="C30" s="130">
        <v>4</v>
      </c>
      <c r="D30" s="13">
        <f t="shared" ref="D30:D35" si="5">COUNTIF(G30:P30,"X")</f>
        <v>0</v>
      </c>
      <c r="E30" s="33">
        <f>IF(D30&gt;C30,1,IFERROR(D30/C30,""))</f>
        <v>0</v>
      </c>
      <c r="G30" s="13"/>
      <c r="H30" s="13"/>
      <c r="I30" s="13"/>
      <c r="J30" s="13"/>
      <c r="K30" s="13"/>
      <c r="L30" s="132"/>
      <c r="M30" s="132"/>
      <c r="N30" s="132"/>
      <c r="O30" s="132"/>
      <c r="R30" s="126"/>
    </row>
    <row r="31" spans="1:19" ht="17" x14ac:dyDescent="0.2">
      <c r="A31" s="131" t="s">
        <v>589</v>
      </c>
      <c r="C31" s="130">
        <v>5</v>
      </c>
      <c r="D31" s="13">
        <f t="shared" si="5"/>
        <v>1</v>
      </c>
      <c r="E31" s="33">
        <f>IF(D31&gt;C31,1,IFERROR(D31/C31,""))</f>
        <v>0.2</v>
      </c>
      <c r="G31" s="13"/>
      <c r="H31" s="13"/>
      <c r="I31" s="13"/>
      <c r="J31" s="13"/>
      <c r="K31" s="13"/>
      <c r="L31" s="13"/>
      <c r="M31" s="13" t="s">
        <v>53</v>
      </c>
      <c r="N31" s="13"/>
      <c r="O31" s="13"/>
      <c r="R31" s="126"/>
    </row>
    <row r="32" spans="1:19" x14ac:dyDescent="0.2">
      <c r="C32" s="130">
        <v>3</v>
      </c>
      <c r="D32" s="13">
        <f t="shared" si="5"/>
        <v>0</v>
      </c>
      <c r="E32" s="33">
        <f>IF(D32&gt;C32,1,IFERROR(D32/C32,""))</f>
        <v>0</v>
      </c>
      <c r="G32" s="13"/>
      <c r="H32" s="13"/>
      <c r="I32" s="13"/>
      <c r="J32" s="13"/>
      <c r="K32" s="13"/>
      <c r="L32" s="13"/>
      <c r="M32" s="13"/>
      <c r="N32" s="13"/>
      <c r="O32" s="13"/>
      <c r="P32" s="126"/>
    </row>
    <row r="33" spans="1:16" ht="16" x14ac:dyDescent="0.2">
      <c r="A33" s="127"/>
      <c r="C33" s="130">
        <v>6</v>
      </c>
      <c r="D33" s="13">
        <f t="shared" si="5"/>
        <v>0</v>
      </c>
      <c r="E33" s="33">
        <f t="shared" ref="E33:E35" si="6">IF(D33&gt;C33,1,IFERROR(D33/C33,""))</f>
        <v>0</v>
      </c>
      <c r="G33" s="13"/>
      <c r="H33" s="13"/>
      <c r="I33" s="13"/>
      <c r="J33" s="13"/>
      <c r="K33" s="13"/>
      <c r="L33" s="13"/>
      <c r="M33" s="13"/>
      <c r="N33" s="13"/>
      <c r="O33" s="13"/>
      <c r="P33" s="126"/>
    </row>
    <row r="34" spans="1:16" ht="16" x14ac:dyDescent="0.2">
      <c r="A34" s="127"/>
      <c r="C34" s="130">
        <v>9</v>
      </c>
      <c r="D34" s="13">
        <f t="shared" si="5"/>
        <v>0</v>
      </c>
      <c r="E34" s="33">
        <f t="shared" si="6"/>
        <v>0</v>
      </c>
      <c r="G34" s="13"/>
      <c r="H34" s="13"/>
      <c r="I34" s="13"/>
      <c r="J34" s="13"/>
      <c r="K34" s="13"/>
      <c r="L34" s="13"/>
      <c r="M34" s="13"/>
      <c r="N34" s="13"/>
      <c r="O34" s="13"/>
    </row>
    <row r="35" spans="1:16" ht="16" x14ac:dyDescent="0.2">
      <c r="A35" s="127"/>
      <c r="C35" s="130">
        <v>1</v>
      </c>
      <c r="D35" s="13">
        <f t="shared" si="5"/>
        <v>0</v>
      </c>
      <c r="E35" s="33">
        <f t="shared" si="6"/>
        <v>0</v>
      </c>
      <c r="G35" s="13"/>
      <c r="H35" s="13"/>
      <c r="I35" s="13"/>
      <c r="J35" s="13"/>
      <c r="K35" s="13"/>
      <c r="L35" s="13"/>
      <c r="M35" s="13"/>
      <c r="N35" s="13"/>
      <c r="O35" s="13"/>
    </row>
    <row r="36" spans="1:16" x14ac:dyDescent="0.2"/>
  </sheetData>
  <conditionalFormatting sqref="E5:E10">
    <cfRule type="cellIs" dxfId="174" priority="9" operator="between">
      <formula>0</formula>
      <formula>0.64</formula>
    </cfRule>
    <cfRule type="cellIs" dxfId="173" priority="10" operator="between">
      <formula>0.64</formula>
      <formula>0.8</formula>
    </cfRule>
    <cfRule type="cellIs" dxfId="172" priority="11" operator="between">
      <formula>0.79</formula>
      <formula>0.9</formula>
    </cfRule>
    <cfRule type="cellIs" dxfId="171" priority="12" operator="between">
      <formula>0.89</formula>
      <formula>1</formula>
    </cfRule>
  </conditionalFormatting>
  <conditionalFormatting sqref="E13:E18 E21:E23">
    <cfRule type="cellIs" dxfId="170" priority="28" operator="between">
      <formula>0</formula>
      <formula>0.64</formula>
    </cfRule>
    <cfRule type="cellIs" dxfId="169" priority="29" operator="between">
      <formula>0.64</formula>
      <formula>0.8</formula>
    </cfRule>
    <cfRule type="cellIs" dxfId="168" priority="30" operator="between">
      <formula>0.79</formula>
      <formula>0.9</formula>
    </cfRule>
    <cfRule type="cellIs" dxfId="167" priority="31" operator="between">
      <formula>0.89</formula>
      <formula>1</formula>
    </cfRule>
  </conditionalFormatting>
  <conditionalFormatting sqref="E29:E35">
    <cfRule type="cellIs" dxfId="166" priority="22" operator="between">
      <formula>0</formula>
      <formula>0.64</formula>
    </cfRule>
    <cfRule type="cellIs" dxfId="165" priority="23" operator="between">
      <formula>0.64</formula>
      <formula>0.8</formula>
    </cfRule>
    <cfRule type="cellIs" dxfId="164" priority="24" operator="between">
      <formula>0.79</formula>
      <formula>0.9</formula>
    </cfRule>
    <cfRule type="cellIs" dxfId="163" priority="25" operator="between">
      <formula>0.89</formula>
      <formula>1</formula>
    </cfRule>
  </conditionalFormatting>
  <conditionalFormatting sqref="G5:G6">
    <cfRule type="cellIs" dxfId="162" priority="8" operator="equal">
      <formula>1</formula>
    </cfRule>
  </conditionalFormatting>
  <conditionalFormatting sqref="G4:K4">
    <cfRule type="cellIs" dxfId="161" priority="27" operator="equal">
      <formula>1</formula>
    </cfRule>
  </conditionalFormatting>
  <conditionalFormatting sqref="G12:K12">
    <cfRule type="cellIs" dxfId="160" priority="6" operator="equal">
      <formula>1</formula>
    </cfRule>
  </conditionalFormatting>
  <conditionalFormatting sqref="G28:K28">
    <cfRule type="cellIs" dxfId="159" priority="2" operator="equal">
      <formula>1</formula>
    </cfRule>
  </conditionalFormatting>
  <conditionalFormatting sqref="G13:L18">
    <cfRule type="cellIs" dxfId="158" priority="13" operator="equal">
      <formula>"x"</formula>
    </cfRule>
  </conditionalFormatting>
  <conditionalFormatting sqref="G5:O11">
    <cfRule type="cellIs" dxfId="157" priority="7" operator="equal">
      <formula>1</formula>
    </cfRule>
  </conditionalFormatting>
  <conditionalFormatting sqref="G19:O19 G26:O27 G29:O36">
    <cfRule type="cellIs" dxfId="156" priority="26" operator="equal">
      <formula>"x"</formula>
    </cfRule>
  </conditionalFormatting>
  <conditionalFormatting sqref="G20:P25">
    <cfRule type="cellIs" dxfId="155" priority="21" operator="equal">
      <formula>"x"</formula>
    </cfRule>
  </conditionalFormatting>
  <conditionalFormatting sqref="M15:M18">
    <cfRule type="cellIs" dxfId="154" priority="1" operator="equal">
      <formula>"x"</formula>
    </cfRule>
  </conditionalFormatting>
  <conditionalFormatting sqref="M13:O13 N15:O18">
    <cfRule type="cellIs" dxfId="153" priority="5" operator="equal">
      <formula>1</formula>
    </cfRule>
  </conditionalFormatting>
  <conditionalFormatting sqref="M14:O14">
    <cfRule type="cellIs" dxfId="152" priority="3" operator="equal">
      <formula>"x"</formula>
    </cfRule>
  </conditionalFormatting>
  <conditionalFormatting sqref="P16:P18">
    <cfRule type="cellIs" dxfId="151" priority="14" operator="equal">
      <formula>"x"</formula>
    </cfRule>
  </conditionalFormatting>
  <conditionalFormatting sqref="P12:Q15">
    <cfRule type="cellIs" dxfId="150" priority="15" operator="equal">
      <formula>"x"</formula>
    </cfRule>
  </conditionalFormatting>
  <conditionalFormatting sqref="Q16:Q18">
    <cfRule type="cellIs" dxfId="149" priority="19" operator="equal">
      <formula>1</formula>
    </cfRule>
  </conditionalFormatting>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BD6D-18B7-41A9-AB6E-6300C1A2D6B8}">
  <dimension ref="A2:Z36"/>
  <sheetViews>
    <sheetView showGridLines="0" topLeftCell="A9" zoomScale="87" zoomScaleNormal="70" workbookViewId="0">
      <selection activeCell="O9" sqref="O9"/>
    </sheetView>
  </sheetViews>
  <sheetFormatPr baseColWidth="10" defaultColWidth="9.1640625" defaultRowHeight="15" customHeight="1" x14ac:dyDescent="0.2"/>
  <cols>
    <col min="1" max="1" width="51.5" customWidth="1"/>
    <col min="2" max="2" width="11.5" customWidth="1"/>
    <col min="3" max="3" width="13.5" customWidth="1"/>
    <col min="4" max="4" width="11.5" customWidth="1"/>
    <col min="5" max="5" width="12.1640625" customWidth="1"/>
    <col min="6" max="6" width="3.5" customWidth="1"/>
    <col min="7" max="17" width="10.5" customWidth="1"/>
  </cols>
  <sheetData>
    <row r="2" spans="1:26" ht="19" x14ac:dyDescent="0.25">
      <c r="A2" s="122" t="s">
        <v>551</v>
      </c>
    </row>
    <row r="3" spans="1:26" x14ac:dyDescent="0.2"/>
    <row r="4" spans="1:26" ht="17" thickBot="1" x14ac:dyDescent="0.25">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R4" s="124" t="s">
        <v>561</v>
      </c>
      <c r="S4" s="124"/>
      <c r="T4" s="124"/>
      <c r="U4" s="124"/>
      <c r="V4" s="124"/>
      <c r="W4" s="124"/>
      <c r="X4" s="124"/>
      <c r="Y4" s="124"/>
      <c r="Z4" s="124"/>
    </row>
    <row r="5" spans="1:26" ht="17" thickTop="1" x14ac:dyDescent="0.2">
      <c r="A5" s="127" t="s">
        <v>581</v>
      </c>
      <c r="B5" s="7"/>
      <c r="C5" s="128">
        <v>9</v>
      </c>
      <c r="D5" s="32">
        <f>SUM(G5:P5)</f>
        <v>4</v>
      </c>
      <c r="E5" s="33">
        <f>IF(D5&gt;C5,1,IFERROR(D5/C5,""))</f>
        <v>0.44444444444444442</v>
      </c>
      <c r="F5" s="7"/>
      <c r="G5" s="13"/>
      <c r="H5" s="13"/>
      <c r="I5" s="13">
        <v>1</v>
      </c>
      <c r="J5" s="13"/>
      <c r="K5" s="132"/>
      <c r="L5" s="132"/>
      <c r="M5" s="13">
        <v>3</v>
      </c>
      <c r="N5" s="13"/>
      <c r="O5" s="13"/>
    </row>
    <row r="6" spans="1:26" ht="16" x14ac:dyDescent="0.2">
      <c r="A6" s="127" t="s">
        <v>582</v>
      </c>
      <c r="B6" s="7"/>
      <c r="C6" s="128">
        <v>9</v>
      </c>
      <c r="D6" s="32">
        <f>SUM(G6:P6)</f>
        <v>17</v>
      </c>
      <c r="E6" s="33">
        <f>IF(D6&gt;C6,1,IFERROR(D6/C6,""))</f>
        <v>1</v>
      </c>
      <c r="F6" s="7"/>
      <c r="G6" s="13">
        <v>4</v>
      </c>
      <c r="H6" s="13">
        <v>2</v>
      </c>
      <c r="I6" s="13">
        <v>3</v>
      </c>
      <c r="J6" s="13"/>
      <c r="K6" s="132"/>
      <c r="L6" s="132"/>
      <c r="M6" s="13">
        <v>6</v>
      </c>
      <c r="N6" s="136">
        <v>2</v>
      </c>
      <c r="O6" s="136"/>
    </row>
    <row r="7" spans="1:26" ht="16" x14ac:dyDescent="0.2">
      <c r="A7" s="127" t="s">
        <v>583</v>
      </c>
      <c r="C7" s="128">
        <v>7</v>
      </c>
      <c r="D7" s="32">
        <f>SUM(G7:P7)</f>
        <v>0</v>
      </c>
      <c r="E7" s="33">
        <f>IF(D7&gt;C7,1,IFERROR(D7/C7,""))</f>
        <v>0</v>
      </c>
      <c r="G7" s="136"/>
      <c r="H7" s="136"/>
      <c r="I7" s="136"/>
      <c r="J7" s="136"/>
      <c r="K7" s="132"/>
      <c r="L7" s="132"/>
      <c r="M7" s="136"/>
      <c r="N7" s="13"/>
      <c r="O7" s="13"/>
      <c r="R7" s="125"/>
    </row>
    <row r="8" spans="1:26" ht="16" x14ac:dyDescent="0.2">
      <c r="A8" s="127" t="s">
        <v>591</v>
      </c>
      <c r="C8" s="128">
        <v>7</v>
      </c>
      <c r="D8" s="32">
        <f t="shared" ref="D8:D9" si="0">SUM(G8:P8)</f>
        <v>6</v>
      </c>
      <c r="E8" s="33">
        <f t="shared" ref="E8:E9" si="1">IF(D8&gt;C8,1,IFERROR(D8/C8,""))</f>
        <v>0.8571428571428571</v>
      </c>
      <c r="G8" s="136">
        <v>1</v>
      </c>
      <c r="H8" s="136">
        <v>1</v>
      </c>
      <c r="I8" s="136">
        <v>1</v>
      </c>
      <c r="J8" s="136">
        <v>1</v>
      </c>
      <c r="K8" s="132"/>
      <c r="L8" s="132"/>
      <c r="M8" s="136">
        <v>1</v>
      </c>
      <c r="N8" s="13">
        <v>1</v>
      </c>
      <c r="O8" s="13"/>
      <c r="R8" s="125"/>
    </row>
    <row r="9" spans="1:26" ht="16" x14ac:dyDescent="0.2">
      <c r="A9" s="127" t="s">
        <v>592</v>
      </c>
      <c r="C9" s="128">
        <v>2</v>
      </c>
      <c r="D9" s="32">
        <f t="shared" si="0"/>
        <v>4</v>
      </c>
      <c r="E9" s="33">
        <f t="shared" si="1"/>
        <v>1</v>
      </c>
      <c r="G9" s="136">
        <v>3</v>
      </c>
      <c r="H9" s="136">
        <v>1</v>
      </c>
      <c r="I9" s="132"/>
      <c r="J9" s="132"/>
      <c r="K9" s="132"/>
      <c r="L9" s="132"/>
      <c r="M9" s="132"/>
      <c r="N9" s="132"/>
      <c r="O9" s="13"/>
      <c r="R9" s="125"/>
    </row>
    <row r="10" spans="1:26" ht="16" x14ac:dyDescent="0.2">
      <c r="A10" s="127" t="s">
        <v>593</v>
      </c>
      <c r="B10" s="7"/>
      <c r="C10" s="128">
        <v>7</v>
      </c>
      <c r="D10" s="32">
        <f>SUM(G10:P10)</f>
        <v>3</v>
      </c>
      <c r="E10" s="33">
        <f>IF(D10&gt;C10,1,IFERROR(D10/C10,""))</f>
        <v>0.42857142857142855</v>
      </c>
      <c r="F10" s="7"/>
      <c r="G10" s="13">
        <v>1</v>
      </c>
      <c r="H10" s="13"/>
      <c r="I10" s="13">
        <v>1</v>
      </c>
      <c r="J10" s="13"/>
      <c r="K10" s="132"/>
      <c r="L10" s="132"/>
      <c r="M10" s="13">
        <v>1</v>
      </c>
      <c r="N10" s="13"/>
      <c r="O10" s="13"/>
    </row>
    <row r="11" spans="1:26" ht="16" x14ac:dyDescent="0.2">
      <c r="C11" s="123"/>
      <c r="S11" s="76"/>
    </row>
    <row r="12" spans="1:26" ht="17" thickBot="1" x14ac:dyDescent="0.25">
      <c r="A12" s="10" t="s">
        <v>564</v>
      </c>
      <c r="B12" s="3"/>
      <c r="C12" s="124" t="s">
        <v>553</v>
      </c>
      <c r="D12" s="124" t="s">
        <v>554</v>
      </c>
      <c r="E12" s="124" t="s">
        <v>49</v>
      </c>
      <c r="G12" s="12" t="s">
        <v>555</v>
      </c>
      <c r="H12" s="12" t="s">
        <v>556</v>
      </c>
      <c r="I12" s="12" t="s">
        <v>557</v>
      </c>
      <c r="J12" s="12" t="s">
        <v>558</v>
      </c>
      <c r="K12" s="12" t="s">
        <v>1</v>
      </c>
      <c r="L12" s="12" t="s">
        <v>50</v>
      </c>
      <c r="M12" s="12" t="s">
        <v>3</v>
      </c>
      <c r="N12" s="12" t="s">
        <v>559</v>
      </c>
      <c r="O12" s="12" t="s">
        <v>560</v>
      </c>
      <c r="R12" s="76"/>
      <c r="S12" s="76"/>
    </row>
    <row r="13" spans="1:26" ht="17" thickTop="1" x14ac:dyDescent="0.2">
      <c r="A13" s="76" t="s">
        <v>594</v>
      </c>
      <c r="C13" s="130">
        <v>6</v>
      </c>
      <c r="D13" s="13">
        <f t="shared" ref="D13:D18" si="2">COUNTIF(G13:P13,"X")</f>
        <v>4</v>
      </c>
      <c r="E13" s="33">
        <f t="shared" ref="E13:E17" si="3">IF(D13&gt;C13,1,IFERROR(D13/C13,""))</f>
        <v>0.66666666666666663</v>
      </c>
      <c r="G13" s="13" t="s">
        <v>53</v>
      </c>
      <c r="H13" s="13" t="s">
        <v>53</v>
      </c>
      <c r="I13" s="13" t="s">
        <v>53</v>
      </c>
      <c r="J13" s="13" t="s">
        <v>53</v>
      </c>
      <c r="K13" s="132"/>
      <c r="L13" s="132"/>
      <c r="M13" s="136"/>
      <c r="N13" s="132"/>
      <c r="O13" s="132"/>
      <c r="S13" s="76"/>
    </row>
    <row r="14" spans="1:26" ht="16" x14ac:dyDescent="0.2">
      <c r="A14" s="76" t="s">
        <v>566</v>
      </c>
      <c r="C14" s="130">
        <v>5</v>
      </c>
      <c r="D14" s="13">
        <f t="shared" si="2"/>
        <v>4</v>
      </c>
      <c r="E14" s="33">
        <f t="shared" si="3"/>
        <v>0.8</v>
      </c>
      <c r="G14" s="13" t="s">
        <v>53</v>
      </c>
      <c r="H14" s="13" t="s">
        <v>53</v>
      </c>
      <c r="I14" s="13" t="s">
        <v>53</v>
      </c>
      <c r="J14" s="13" t="s">
        <v>53</v>
      </c>
      <c r="K14" s="132"/>
      <c r="L14" s="132"/>
      <c r="M14" s="136"/>
      <c r="N14" s="132"/>
      <c r="O14" s="132"/>
      <c r="S14" s="76"/>
    </row>
    <row r="15" spans="1:26" ht="16" x14ac:dyDescent="0.2">
      <c r="A15" s="76" t="s">
        <v>567</v>
      </c>
      <c r="C15" s="130">
        <v>5</v>
      </c>
      <c r="D15" s="13">
        <f t="shared" si="2"/>
        <v>4</v>
      </c>
      <c r="E15" s="33">
        <f t="shared" si="3"/>
        <v>0.8</v>
      </c>
      <c r="G15" s="13" t="s">
        <v>53</v>
      </c>
      <c r="H15" s="13" t="s">
        <v>53</v>
      </c>
      <c r="I15" s="13" t="s">
        <v>53</v>
      </c>
      <c r="J15" s="13" t="s">
        <v>53</v>
      </c>
      <c r="K15" s="132"/>
      <c r="L15" s="132"/>
      <c r="M15" s="132"/>
      <c r="N15" s="132"/>
      <c r="O15" s="132"/>
      <c r="S15" s="76"/>
    </row>
    <row r="16" spans="1:26" ht="16" x14ac:dyDescent="0.2">
      <c r="A16" s="76" t="s">
        <v>568</v>
      </c>
      <c r="C16" s="130">
        <v>5</v>
      </c>
      <c r="D16" s="13">
        <f t="shared" si="2"/>
        <v>4</v>
      </c>
      <c r="E16" s="33">
        <f t="shared" si="3"/>
        <v>0.8</v>
      </c>
      <c r="G16" s="13" t="s">
        <v>53</v>
      </c>
      <c r="H16" s="13" t="s">
        <v>53</v>
      </c>
      <c r="I16" s="13" t="s">
        <v>53</v>
      </c>
      <c r="J16" s="13" t="s">
        <v>53</v>
      </c>
      <c r="K16" s="132"/>
      <c r="L16" s="132"/>
      <c r="M16" s="132"/>
      <c r="N16" s="132"/>
      <c r="O16" s="13"/>
      <c r="R16" s="125"/>
      <c r="S16" s="76"/>
    </row>
    <row r="17" spans="1:19" ht="16" x14ac:dyDescent="0.2">
      <c r="A17" s="76" t="s">
        <v>569</v>
      </c>
      <c r="C17" s="130">
        <v>5</v>
      </c>
      <c r="D17" s="13">
        <f t="shared" si="2"/>
        <v>4</v>
      </c>
      <c r="E17" s="33">
        <f t="shared" si="3"/>
        <v>0.8</v>
      </c>
      <c r="G17" s="13" t="s">
        <v>53</v>
      </c>
      <c r="H17" s="13" t="s">
        <v>53</v>
      </c>
      <c r="I17" s="13" t="s">
        <v>53</v>
      </c>
      <c r="J17" s="13" t="s">
        <v>53</v>
      </c>
      <c r="K17" s="132"/>
      <c r="L17" s="132"/>
      <c r="M17" s="132"/>
      <c r="N17" s="13"/>
      <c r="O17" s="132"/>
      <c r="R17" s="126"/>
      <c r="S17" s="76"/>
    </row>
    <row r="18" spans="1:19" ht="16" x14ac:dyDescent="0.2">
      <c r="A18" s="76" t="s">
        <v>570</v>
      </c>
      <c r="C18" s="130">
        <v>5</v>
      </c>
      <c r="D18" s="13">
        <f t="shared" si="2"/>
        <v>4</v>
      </c>
      <c r="E18" s="33">
        <f>IF(D18&gt;C18,1,IFERROR(D18/C18,""))</f>
        <v>0.8</v>
      </c>
      <c r="G18" s="13" t="s">
        <v>53</v>
      </c>
      <c r="H18" s="13" t="s">
        <v>53</v>
      </c>
      <c r="I18" s="13" t="s">
        <v>53</v>
      </c>
      <c r="J18" s="13"/>
      <c r="K18" s="132"/>
      <c r="L18" s="132"/>
      <c r="M18" s="13" t="s">
        <v>53</v>
      </c>
      <c r="N18" s="132"/>
      <c r="O18" s="13"/>
      <c r="S18" s="7"/>
    </row>
    <row r="19" spans="1:19" x14ac:dyDescent="0.2"/>
    <row r="20" spans="1:19" ht="17" hidden="1" thickBot="1" x14ac:dyDescent="0.25">
      <c r="A20" s="78" t="s">
        <v>571</v>
      </c>
      <c r="B20" s="80"/>
      <c r="C20" s="124" t="s">
        <v>553</v>
      </c>
      <c r="D20" s="124" t="s">
        <v>554</v>
      </c>
      <c r="E20" s="124" t="s">
        <v>49</v>
      </c>
      <c r="G20" s="12"/>
      <c r="H20" s="12"/>
      <c r="I20" s="12"/>
      <c r="J20" s="12"/>
      <c r="K20" s="12"/>
      <c r="L20" s="12"/>
      <c r="M20" s="12"/>
      <c r="N20" s="12"/>
      <c r="O20" s="12"/>
      <c r="P20" s="12"/>
    </row>
    <row r="21" spans="1:19" ht="16" hidden="1" x14ac:dyDescent="0.2">
      <c r="A21" s="76" t="s">
        <v>572</v>
      </c>
      <c r="C21" s="130">
        <v>3</v>
      </c>
      <c r="D21" s="13">
        <f t="shared" ref="D21:D23" si="4">COUNTIF(G21:P21,"X")</f>
        <v>0</v>
      </c>
      <c r="E21" s="33">
        <f>IF(D21&gt;C21,1,IFERROR(D21/C21,""))</f>
        <v>0</v>
      </c>
      <c r="G21" s="13"/>
      <c r="H21" s="13"/>
      <c r="I21" s="13"/>
      <c r="J21" s="137"/>
      <c r="K21" s="13"/>
      <c r="L21" s="137"/>
      <c r="M21" s="13"/>
      <c r="N21" s="13"/>
      <c r="O21" s="13"/>
      <c r="P21" s="13"/>
      <c r="R21" s="126"/>
    </row>
    <row r="22" spans="1:19" ht="16" hidden="1" x14ac:dyDescent="0.2">
      <c r="A22" s="76" t="s">
        <v>573</v>
      </c>
      <c r="C22" s="130">
        <v>10</v>
      </c>
      <c r="D22" s="13">
        <f t="shared" si="4"/>
        <v>0</v>
      </c>
      <c r="E22" s="33">
        <f>IF(D22&gt;C22,1,IFERROR(D22/C22,""))</f>
        <v>0</v>
      </c>
      <c r="G22" s="137"/>
      <c r="H22" s="137"/>
      <c r="I22" s="137"/>
      <c r="J22" s="137"/>
      <c r="K22" s="137"/>
      <c r="L22" s="137"/>
      <c r="M22" s="137"/>
      <c r="N22" s="137"/>
      <c r="O22" s="137"/>
      <c r="P22" s="137"/>
    </row>
    <row r="23" spans="1:19" ht="16" hidden="1" x14ac:dyDescent="0.2">
      <c r="A23" s="76" t="s">
        <v>574</v>
      </c>
      <c r="C23" s="130">
        <v>10</v>
      </c>
      <c r="D23" s="13">
        <f t="shared" si="4"/>
        <v>0</v>
      </c>
      <c r="E23" s="33">
        <f>IF(D23&gt;C23,1,IFERROR(D23/C23,""))</f>
        <v>0</v>
      </c>
      <c r="G23" s="137"/>
      <c r="H23" s="137"/>
      <c r="I23" s="137"/>
      <c r="J23" s="137"/>
      <c r="K23" s="137"/>
      <c r="L23" s="137"/>
      <c r="M23" s="137"/>
      <c r="N23" s="137"/>
      <c r="O23" s="137"/>
      <c r="P23" s="137"/>
    </row>
    <row r="24" spans="1:19" ht="16" hidden="1" x14ac:dyDescent="0.2">
      <c r="A24" s="76"/>
      <c r="C24" s="130"/>
      <c r="D24" s="13"/>
      <c r="E24" s="13"/>
      <c r="G24" s="13"/>
      <c r="H24" s="13"/>
      <c r="I24" s="13"/>
      <c r="J24" s="13"/>
      <c r="K24" s="13"/>
      <c r="L24" s="133"/>
      <c r="M24" s="13"/>
      <c r="N24" s="13"/>
      <c r="O24" s="13"/>
      <c r="P24" s="13"/>
    </row>
    <row r="25" spans="1:19" ht="16" hidden="1" x14ac:dyDescent="0.2">
      <c r="A25" s="127"/>
      <c r="C25" s="130"/>
      <c r="D25" s="13"/>
      <c r="E25" s="13"/>
      <c r="G25" s="13"/>
      <c r="H25" s="13"/>
      <c r="I25" s="13"/>
      <c r="J25" s="13"/>
      <c r="K25" s="13"/>
      <c r="L25" s="133"/>
      <c r="M25" s="13"/>
      <c r="N25" s="13"/>
      <c r="O25" s="13"/>
      <c r="P25" s="13"/>
      <c r="R25" s="126"/>
    </row>
    <row r="26" spans="1:19" ht="16" x14ac:dyDescent="0.2">
      <c r="A26" s="127"/>
      <c r="C26" s="127"/>
      <c r="G26" s="129"/>
      <c r="N26" s="118"/>
      <c r="O26" s="118"/>
    </row>
    <row r="27" spans="1:19" ht="16" x14ac:dyDescent="0.2">
      <c r="A27" s="7"/>
      <c r="N27" s="118"/>
      <c r="O27" s="118"/>
    </row>
    <row r="28" spans="1:19" ht="17" thickBot="1" x14ac:dyDescent="0.25">
      <c r="A28" s="78" t="s">
        <v>575</v>
      </c>
      <c r="B28" s="80"/>
      <c r="C28" s="124" t="s">
        <v>553</v>
      </c>
      <c r="D28" s="124" t="s">
        <v>554</v>
      </c>
      <c r="E28" s="124" t="s">
        <v>49</v>
      </c>
      <c r="G28" s="12" t="s">
        <v>555</v>
      </c>
      <c r="H28" s="12" t="s">
        <v>556</v>
      </c>
      <c r="I28" s="12" t="s">
        <v>557</v>
      </c>
      <c r="J28" s="12" t="s">
        <v>558</v>
      </c>
      <c r="K28" s="12" t="s">
        <v>1</v>
      </c>
      <c r="L28" s="12" t="s">
        <v>50</v>
      </c>
      <c r="M28" s="12" t="s">
        <v>3</v>
      </c>
      <c r="N28" s="12" t="s">
        <v>559</v>
      </c>
      <c r="O28" s="12" t="s">
        <v>560</v>
      </c>
    </row>
    <row r="29" spans="1:19" ht="17" thickTop="1" x14ac:dyDescent="0.2">
      <c r="A29" s="127" t="s">
        <v>595</v>
      </c>
      <c r="C29" s="130">
        <v>5</v>
      </c>
      <c r="D29" s="13">
        <f t="shared" ref="D29:D35" si="5">COUNTIF(G29:P29,"X")</f>
        <v>0</v>
      </c>
      <c r="E29" s="33">
        <f>IF(D29&gt;C29,1,IFERROR(D29/C29,""))</f>
        <v>0</v>
      </c>
      <c r="G29" s="13"/>
      <c r="H29" s="13"/>
      <c r="I29" s="13"/>
      <c r="J29" s="13"/>
      <c r="K29" s="13"/>
      <c r="L29" s="132"/>
      <c r="M29" s="136"/>
      <c r="N29" s="132"/>
      <c r="O29" s="132"/>
      <c r="R29" s="126"/>
    </row>
    <row r="30" spans="1:19" ht="16" x14ac:dyDescent="0.2">
      <c r="A30" s="127" t="s">
        <v>577</v>
      </c>
      <c r="C30" s="130">
        <v>4</v>
      </c>
      <c r="D30" s="13">
        <f t="shared" si="5"/>
        <v>0</v>
      </c>
      <c r="E30" s="33">
        <f>IF(D30&gt;C30,1,IFERROR(D30/C30,""))</f>
        <v>0</v>
      </c>
      <c r="G30" s="13"/>
      <c r="H30" s="13"/>
      <c r="I30" s="13"/>
      <c r="J30" s="13"/>
      <c r="K30" s="13"/>
      <c r="L30" s="132"/>
      <c r="M30" s="132"/>
      <c r="N30" s="132"/>
      <c r="O30" s="132"/>
      <c r="R30" s="126"/>
    </row>
    <row r="31" spans="1:19" ht="17" x14ac:dyDescent="0.2">
      <c r="A31" s="131" t="s">
        <v>589</v>
      </c>
      <c r="C31" s="130">
        <v>5</v>
      </c>
      <c r="D31" s="13">
        <f t="shared" si="5"/>
        <v>0</v>
      </c>
      <c r="E31" s="33">
        <f>IF(D31&gt;C31,1,IFERROR(D31/C31,""))</f>
        <v>0</v>
      </c>
      <c r="G31" s="13"/>
      <c r="H31" s="13"/>
      <c r="I31" s="13"/>
      <c r="J31" s="13"/>
      <c r="K31" s="13"/>
      <c r="L31" s="13"/>
      <c r="M31" s="132"/>
      <c r="N31" s="13"/>
      <c r="O31" s="13"/>
      <c r="R31" s="126"/>
    </row>
    <row r="32" spans="1:19" x14ac:dyDescent="0.2">
      <c r="C32" s="130">
        <v>3</v>
      </c>
      <c r="D32" s="13">
        <f t="shared" si="5"/>
        <v>0</v>
      </c>
      <c r="E32" s="33">
        <f>IF(D32&gt;C32,1,IFERROR(D32/C32,""))</f>
        <v>0</v>
      </c>
      <c r="G32" s="13"/>
      <c r="H32" s="13"/>
      <c r="I32" s="13"/>
      <c r="J32" s="13"/>
      <c r="K32" s="13"/>
      <c r="L32" s="13"/>
      <c r="M32" s="13"/>
      <c r="N32" s="13"/>
      <c r="O32" s="13"/>
      <c r="P32" s="126"/>
    </row>
    <row r="33" spans="1:16" ht="16" x14ac:dyDescent="0.2">
      <c r="A33" s="127"/>
      <c r="C33" s="130">
        <v>6</v>
      </c>
      <c r="D33" s="13">
        <f t="shared" si="5"/>
        <v>0</v>
      </c>
      <c r="E33" s="33">
        <f t="shared" ref="E33:E35" si="6">IF(D33&gt;C33,1,IFERROR(D33/C33,""))</f>
        <v>0</v>
      </c>
      <c r="G33" s="13"/>
      <c r="H33" s="13"/>
      <c r="I33" s="13"/>
      <c r="J33" s="13"/>
      <c r="K33" s="13"/>
      <c r="L33" s="13"/>
      <c r="M33" s="13"/>
      <c r="N33" s="13"/>
      <c r="O33" s="13"/>
      <c r="P33" s="126"/>
    </row>
    <row r="34" spans="1:16" ht="16" x14ac:dyDescent="0.2">
      <c r="A34" s="127"/>
      <c r="C34" s="130">
        <v>9</v>
      </c>
      <c r="D34" s="13">
        <f t="shared" si="5"/>
        <v>0</v>
      </c>
      <c r="E34" s="33">
        <f t="shared" si="6"/>
        <v>0</v>
      </c>
      <c r="G34" s="13"/>
      <c r="H34" s="13"/>
      <c r="I34" s="13"/>
      <c r="J34" s="13"/>
      <c r="K34" s="13"/>
      <c r="L34" s="13"/>
      <c r="M34" s="13"/>
      <c r="N34" s="13"/>
      <c r="O34" s="13"/>
    </row>
    <row r="35" spans="1:16" ht="16" x14ac:dyDescent="0.2">
      <c r="A35" s="127"/>
      <c r="C35" s="130">
        <v>1</v>
      </c>
      <c r="D35" s="13">
        <f t="shared" si="5"/>
        <v>0</v>
      </c>
      <c r="E35" s="33">
        <f t="shared" si="6"/>
        <v>0</v>
      </c>
      <c r="G35" s="13"/>
      <c r="H35" s="13"/>
      <c r="I35" s="13"/>
      <c r="J35" s="13"/>
      <c r="K35" s="13"/>
      <c r="L35" s="13"/>
      <c r="M35" s="13"/>
      <c r="N35" s="13"/>
      <c r="O35" s="13"/>
    </row>
    <row r="36" spans="1:16" x14ac:dyDescent="0.2"/>
  </sheetData>
  <conditionalFormatting sqref="E5:E10">
    <cfRule type="cellIs" dxfId="148" priority="6" operator="between">
      <formula>0</formula>
      <formula>0.64</formula>
    </cfRule>
    <cfRule type="cellIs" dxfId="147" priority="7" operator="between">
      <formula>0.64</formula>
      <formula>0.8</formula>
    </cfRule>
    <cfRule type="cellIs" dxfId="146" priority="8" operator="between">
      <formula>0.79</formula>
      <formula>0.9</formula>
    </cfRule>
    <cfRule type="cellIs" dxfId="145" priority="9" operator="between">
      <formula>0.89</formula>
      <formula>1</formula>
    </cfRule>
  </conditionalFormatting>
  <conditionalFormatting sqref="E13:E18 E21:E23">
    <cfRule type="cellIs" dxfId="144" priority="25" operator="between">
      <formula>0</formula>
      <formula>0.64</formula>
    </cfRule>
    <cfRule type="cellIs" dxfId="143" priority="26" operator="between">
      <formula>0.64</formula>
      <formula>0.8</formula>
    </cfRule>
    <cfRule type="cellIs" dxfId="142" priority="27" operator="between">
      <formula>0.79</formula>
      <formula>0.9</formula>
    </cfRule>
    <cfRule type="cellIs" dxfId="141" priority="28" operator="between">
      <formula>0.89</formula>
      <formula>1</formula>
    </cfRule>
  </conditionalFormatting>
  <conditionalFormatting sqref="E29:E35">
    <cfRule type="cellIs" dxfId="140" priority="19" operator="between">
      <formula>0</formula>
      <formula>0.64</formula>
    </cfRule>
    <cfRule type="cellIs" dxfId="139" priority="20" operator="between">
      <formula>0.64</formula>
      <formula>0.8</formula>
    </cfRule>
    <cfRule type="cellIs" dxfId="138" priority="21" operator="between">
      <formula>0.79</formula>
      <formula>0.9</formula>
    </cfRule>
    <cfRule type="cellIs" dxfId="137" priority="22" operator="between">
      <formula>0.89</formula>
      <formula>1</formula>
    </cfRule>
  </conditionalFormatting>
  <conditionalFormatting sqref="G5:G6">
    <cfRule type="cellIs" dxfId="136" priority="5" operator="equal">
      <formula>1</formula>
    </cfRule>
  </conditionalFormatting>
  <conditionalFormatting sqref="G4:K4">
    <cfRule type="cellIs" dxfId="135" priority="24" operator="equal">
      <formula>1</formula>
    </cfRule>
  </conditionalFormatting>
  <conditionalFormatting sqref="G12:K12">
    <cfRule type="cellIs" dxfId="134" priority="3" operator="equal">
      <formula>1</formula>
    </cfRule>
  </conditionalFormatting>
  <conditionalFormatting sqref="G28:K28">
    <cfRule type="cellIs" dxfId="133" priority="2" operator="equal">
      <formula>1</formula>
    </cfRule>
  </conditionalFormatting>
  <conditionalFormatting sqref="G16:L18">
    <cfRule type="cellIs" dxfId="132" priority="10" operator="equal">
      <formula>"x"</formula>
    </cfRule>
  </conditionalFormatting>
  <conditionalFormatting sqref="G5:O11">
    <cfRule type="cellIs" dxfId="131" priority="4" operator="equal">
      <formula>1</formula>
    </cfRule>
  </conditionalFormatting>
  <conditionalFormatting sqref="G19:O19 G26:O27 G29:O36">
    <cfRule type="cellIs" dxfId="130" priority="23" operator="equal">
      <formula>"x"</formula>
    </cfRule>
  </conditionalFormatting>
  <conditionalFormatting sqref="G20:P25">
    <cfRule type="cellIs" dxfId="129" priority="18" operator="equal">
      <formula>"x"</formula>
    </cfRule>
  </conditionalFormatting>
  <conditionalFormatting sqref="M16:M17">
    <cfRule type="cellIs" dxfId="128" priority="15" operator="equal">
      <formula>1</formula>
    </cfRule>
  </conditionalFormatting>
  <conditionalFormatting sqref="M18">
    <cfRule type="cellIs" dxfId="127" priority="1" operator="equal">
      <formula>"x"</formula>
    </cfRule>
  </conditionalFormatting>
  <conditionalFormatting sqref="N18">
    <cfRule type="cellIs" dxfId="126" priority="14" operator="equal">
      <formula>1</formula>
    </cfRule>
  </conditionalFormatting>
  <conditionalFormatting sqref="N16:P17">
    <cfRule type="cellIs" dxfId="125" priority="11" operator="equal">
      <formula>"x"</formula>
    </cfRule>
  </conditionalFormatting>
  <conditionalFormatting sqref="O18:P18">
    <cfRule type="cellIs" dxfId="124" priority="13" operator="equal">
      <formula>"x"</formula>
    </cfRule>
  </conditionalFormatting>
  <conditionalFormatting sqref="P12:Q12 G13:Q15 K13:K18">
    <cfRule type="cellIs" dxfId="123" priority="12" operator="equal">
      <formula>"x"</formula>
    </cfRule>
  </conditionalFormatting>
  <conditionalFormatting sqref="Q16:Q18">
    <cfRule type="cellIs" dxfId="122" priority="16" operator="equal">
      <formula>1</formula>
    </cfRule>
  </conditionalFormatting>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5DC-C90E-4279-B03F-28CC9FB446F1}">
  <sheetPr codeName="Hoja14"/>
  <dimension ref="B2:N13"/>
  <sheetViews>
    <sheetView showGridLines="0" workbookViewId="0">
      <selection activeCell="D12" sqref="D12"/>
    </sheetView>
  </sheetViews>
  <sheetFormatPr baseColWidth="10" defaultColWidth="9.1640625" defaultRowHeight="15" x14ac:dyDescent="0.2"/>
  <sheetData>
    <row r="2" spans="2:14" x14ac:dyDescent="0.2">
      <c r="C2" t="s">
        <v>596</v>
      </c>
      <c r="D2" t="s">
        <v>597</v>
      </c>
      <c r="E2" t="s">
        <v>598</v>
      </c>
    </row>
    <row r="3" spans="2:14" x14ac:dyDescent="0.2">
      <c r="B3" t="s">
        <v>25</v>
      </c>
    </row>
    <row r="4" spans="2:14" ht="17" thickBot="1" x14ac:dyDescent="0.25">
      <c r="B4" s="10" t="s">
        <v>599</v>
      </c>
      <c r="C4" s="10"/>
      <c r="D4" s="10"/>
      <c r="E4" s="10"/>
    </row>
    <row r="5" spans="2:14" ht="16" thickTop="1" x14ac:dyDescent="0.2"/>
    <row r="6" spans="2:14" ht="17" thickBot="1" x14ac:dyDescent="0.25">
      <c r="B6" s="10" t="s">
        <v>600</v>
      </c>
      <c r="C6" s="10"/>
      <c r="D6" s="3" t="s">
        <v>47</v>
      </c>
      <c r="E6" s="3" t="s">
        <v>48</v>
      </c>
      <c r="F6" s="3" t="s">
        <v>49</v>
      </c>
      <c r="H6" s="11"/>
      <c r="I6" s="11"/>
      <c r="J6" s="11"/>
      <c r="K6" s="11"/>
      <c r="L6" s="11"/>
      <c r="M6" s="11"/>
      <c r="N6" s="11"/>
    </row>
    <row r="7" spans="2:14" ht="17" thickTop="1" x14ac:dyDescent="0.2">
      <c r="B7" s="8"/>
      <c r="H7" s="12" t="s">
        <v>43</v>
      </c>
      <c r="I7" s="12" t="s">
        <v>44</v>
      </c>
      <c r="J7" s="12" t="s">
        <v>31</v>
      </c>
      <c r="K7" s="12" t="s">
        <v>1</v>
      </c>
      <c r="L7" s="12" t="s">
        <v>50</v>
      </c>
      <c r="M7" s="12" t="s">
        <v>3</v>
      </c>
      <c r="N7" s="12" t="s">
        <v>51</v>
      </c>
    </row>
    <row r="8" spans="2:14" ht="16" x14ac:dyDescent="0.2">
      <c r="B8" s="7" t="s">
        <v>596</v>
      </c>
      <c r="D8" s="5">
        <v>7</v>
      </c>
      <c r="E8" s="32">
        <v>4</v>
      </c>
      <c r="F8" s="33">
        <f>IF(E8&gt;D8,1,IFERROR(E8/D8,""))</f>
        <v>0.5714285714285714</v>
      </c>
      <c r="H8" s="13"/>
      <c r="I8" s="13"/>
      <c r="J8" s="13"/>
      <c r="K8" s="13"/>
      <c r="L8" s="13" t="s">
        <v>53</v>
      </c>
      <c r="M8" s="13" t="s">
        <v>53</v>
      </c>
      <c r="N8" s="13" t="s">
        <v>53</v>
      </c>
    </row>
    <row r="9" spans="2:14" ht="16" x14ac:dyDescent="0.2">
      <c r="B9" s="7" t="s">
        <v>601</v>
      </c>
      <c r="D9" s="5">
        <v>7</v>
      </c>
      <c r="E9" s="32">
        <v>3</v>
      </c>
      <c r="F9" s="33">
        <f>IF(E9&gt;D9,1,IFERROR(E9/D9,""))</f>
        <v>0.42857142857142855</v>
      </c>
      <c r="H9" s="13" t="s">
        <v>53</v>
      </c>
      <c r="I9" s="13" t="s">
        <v>53</v>
      </c>
      <c r="J9" s="13" t="s">
        <v>53</v>
      </c>
      <c r="K9" s="13"/>
      <c r="L9" s="13"/>
      <c r="M9" s="13"/>
      <c r="N9" s="13"/>
    </row>
    <row r="10" spans="2:14" ht="16" x14ac:dyDescent="0.2">
      <c r="B10" s="7" t="s">
        <v>602</v>
      </c>
      <c r="D10" s="5">
        <v>7</v>
      </c>
      <c r="E10" s="32">
        <v>5</v>
      </c>
      <c r="F10" s="33">
        <f>IF(E10&gt;D10,1,IFERROR(E10/D10,""))</f>
        <v>0.7142857142857143</v>
      </c>
      <c r="H10" s="37"/>
      <c r="I10" s="37" t="s">
        <v>110</v>
      </c>
      <c r="J10" s="37"/>
      <c r="K10" s="13" t="s">
        <v>110</v>
      </c>
      <c r="L10" s="13" t="s">
        <v>110</v>
      </c>
      <c r="M10" s="13" t="s">
        <v>110</v>
      </c>
      <c r="N10" s="13" t="s">
        <v>53</v>
      </c>
    </row>
    <row r="11" spans="2:14" ht="16" x14ac:dyDescent="0.2">
      <c r="B11" s="7" t="s">
        <v>603</v>
      </c>
      <c r="D11" s="5">
        <v>7</v>
      </c>
      <c r="E11" s="32"/>
      <c r="F11" s="33">
        <f>IF(E11&gt;D11,1,IFERROR(E11/D11,""))</f>
        <v>0</v>
      </c>
      <c r="H11" s="13"/>
      <c r="I11" s="13"/>
      <c r="J11" s="13"/>
      <c r="K11" s="13"/>
      <c r="L11" s="13"/>
      <c r="M11" s="13"/>
      <c r="N11" s="13"/>
    </row>
    <row r="12" spans="2:14" ht="16" x14ac:dyDescent="0.2">
      <c r="B12" s="7" t="s">
        <v>604</v>
      </c>
      <c r="D12" s="5">
        <v>7</v>
      </c>
      <c r="E12" s="32"/>
      <c r="F12" s="33">
        <f t="shared" ref="F12" si="0">IF(E12&gt;D12,1,IFERROR(E12/D12,""))</f>
        <v>0</v>
      </c>
      <c r="H12" s="13"/>
      <c r="I12" s="13"/>
      <c r="J12" s="13"/>
      <c r="K12" s="13"/>
      <c r="L12" s="13"/>
      <c r="M12" s="13"/>
      <c r="N12" s="13"/>
    </row>
    <row r="13" spans="2:14" x14ac:dyDescent="0.2">
      <c r="H13" s="198" t="s">
        <v>605</v>
      </c>
      <c r="I13" s="198"/>
      <c r="J13" s="198"/>
      <c r="K13" s="36" t="s">
        <v>606</v>
      </c>
    </row>
  </sheetData>
  <mergeCells count="1">
    <mergeCell ref="H13:J13"/>
  </mergeCells>
  <conditionalFormatting sqref="F8:F12">
    <cfRule type="cellIs" dxfId="121" priority="3" operator="between">
      <formula>0</formula>
      <formula>0.64</formula>
    </cfRule>
    <cfRule type="cellIs" dxfId="120" priority="4" operator="between">
      <formula>0.64</formula>
      <formula>0.8</formula>
    </cfRule>
    <cfRule type="cellIs" dxfId="119" priority="5" operator="between">
      <formula>0.79</formula>
      <formula>0.9</formula>
    </cfRule>
    <cfRule type="cellIs" dxfId="118" priority="6" operator="between">
      <formula>0.89</formula>
      <formula>1</formula>
    </cfRule>
  </conditionalFormatting>
  <conditionalFormatting sqref="H8:N12">
    <cfRule type="cellIs" dxfId="117" priority="1" operator="equal">
      <formula>"x"</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AA066-2552-46B2-83B8-F14594CE935E}">
  <dimension ref="A2:Z36"/>
  <sheetViews>
    <sheetView showGridLines="0" topLeftCell="A6" zoomScale="87" zoomScaleNormal="70" workbookViewId="0">
      <selection activeCell="J9" sqref="J9"/>
    </sheetView>
  </sheetViews>
  <sheetFormatPr baseColWidth="10" defaultColWidth="9.1640625" defaultRowHeight="15" customHeight="1" x14ac:dyDescent="0.2"/>
  <cols>
    <col min="1" max="1" width="51.5" customWidth="1"/>
    <col min="2" max="2" width="11.5" customWidth="1"/>
    <col min="3" max="3" width="13.5" customWidth="1"/>
    <col min="4" max="4" width="11.5" customWidth="1"/>
    <col min="5" max="5" width="12.1640625" customWidth="1"/>
    <col min="6" max="6" width="3.5" customWidth="1"/>
    <col min="7" max="17" width="10.5" customWidth="1"/>
  </cols>
  <sheetData>
    <row r="2" spans="1:26" ht="19" x14ac:dyDescent="0.25">
      <c r="A2" s="122" t="s">
        <v>551</v>
      </c>
    </row>
    <row r="3" spans="1:26" x14ac:dyDescent="0.2"/>
    <row r="4" spans="1:26" ht="16" x14ac:dyDescent="0.2">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R4" s="124" t="s">
        <v>561</v>
      </c>
      <c r="S4" s="124"/>
      <c r="T4" s="124"/>
      <c r="U4" s="124"/>
      <c r="V4" s="124"/>
      <c r="W4" s="124"/>
      <c r="X4" s="124"/>
      <c r="Y4" s="124"/>
      <c r="Z4" s="124"/>
    </row>
    <row r="5" spans="1:26" ht="16" x14ac:dyDescent="0.2">
      <c r="A5" s="127" t="s">
        <v>562</v>
      </c>
      <c r="B5" s="7"/>
      <c r="C5" s="128">
        <v>9</v>
      </c>
      <c r="D5" s="32">
        <f>SUM(G5:P5)</f>
        <v>24</v>
      </c>
      <c r="E5" s="33">
        <f>IF(D5&gt;C5,1,IFERROR(D5/C5,""))</f>
        <v>1</v>
      </c>
      <c r="F5" s="7"/>
      <c r="G5" s="13">
        <v>15</v>
      </c>
      <c r="H5" s="13"/>
      <c r="I5" s="13">
        <v>3</v>
      </c>
      <c r="J5" s="13"/>
      <c r="K5" s="13"/>
      <c r="L5" s="132"/>
      <c r="M5" s="13">
        <v>4</v>
      </c>
      <c r="N5" s="13">
        <v>1</v>
      </c>
      <c r="O5" s="13">
        <v>1</v>
      </c>
    </row>
    <row r="6" spans="1:26" ht="16" x14ac:dyDescent="0.2">
      <c r="A6" s="127" t="s">
        <v>563</v>
      </c>
      <c r="B6" s="7"/>
      <c r="C6" s="128">
        <v>9</v>
      </c>
      <c r="D6" s="32">
        <f>SUM(G6:P6)</f>
        <v>12</v>
      </c>
      <c r="E6" s="33">
        <f>IF(D6&gt;C6,1,IFERROR(D6/C6,""))</f>
        <v>1</v>
      </c>
      <c r="F6" s="7"/>
      <c r="G6" s="13">
        <v>6</v>
      </c>
      <c r="H6" s="13">
        <v>1</v>
      </c>
      <c r="I6" s="13">
        <v>1</v>
      </c>
      <c r="J6" s="13"/>
      <c r="K6" s="13"/>
      <c r="L6" s="132"/>
      <c r="M6" s="13">
        <v>4</v>
      </c>
      <c r="N6" s="136"/>
      <c r="O6" s="136"/>
    </row>
    <row r="7" spans="1:26" ht="16" x14ac:dyDescent="0.2">
      <c r="A7" s="127" t="s">
        <v>583</v>
      </c>
      <c r="C7" s="128">
        <v>7</v>
      </c>
      <c r="D7" s="32">
        <f>SUM(G7:P7)</f>
        <v>0</v>
      </c>
      <c r="E7" s="33">
        <f>IF(D7&gt;C7,1,IFERROR(D7/C7,""))</f>
        <v>0</v>
      </c>
      <c r="G7" s="136"/>
      <c r="H7" s="136"/>
      <c r="I7" s="136"/>
      <c r="J7" s="136"/>
      <c r="K7" s="13"/>
      <c r="L7" s="132"/>
      <c r="M7" s="136"/>
      <c r="N7" s="13"/>
      <c r="O7" s="13"/>
      <c r="R7" s="125"/>
    </row>
    <row r="8" spans="1:26" ht="16" x14ac:dyDescent="0.2">
      <c r="A8" s="127" t="s">
        <v>591</v>
      </c>
      <c r="C8" s="128">
        <v>7</v>
      </c>
      <c r="D8" s="32">
        <f t="shared" ref="D8:D9" si="0">SUM(G8:P8)</f>
        <v>0</v>
      </c>
      <c r="E8" s="33">
        <f t="shared" ref="E8:E9" si="1">IF(D8&gt;C8,1,IFERROR(D8/C8,""))</f>
        <v>0</v>
      </c>
      <c r="G8" s="136"/>
      <c r="H8" s="136"/>
      <c r="I8" s="136"/>
      <c r="J8" s="136"/>
      <c r="K8" s="13"/>
      <c r="L8" s="132"/>
      <c r="M8" s="136"/>
      <c r="N8" s="13"/>
      <c r="O8" s="13"/>
      <c r="R8" s="125"/>
    </row>
    <row r="9" spans="1:26" ht="16" x14ac:dyDescent="0.2">
      <c r="A9" s="127" t="s">
        <v>592</v>
      </c>
      <c r="C9" s="128">
        <v>2</v>
      </c>
      <c r="D9" s="32">
        <f t="shared" si="0"/>
        <v>2</v>
      </c>
      <c r="E9" s="33">
        <f t="shared" si="1"/>
        <v>1</v>
      </c>
      <c r="G9" s="136">
        <v>1</v>
      </c>
      <c r="H9" s="136">
        <v>1</v>
      </c>
      <c r="I9" s="136"/>
      <c r="J9" s="136"/>
      <c r="K9" s="13"/>
      <c r="L9" s="132"/>
      <c r="M9" s="136"/>
      <c r="N9" s="13"/>
      <c r="O9" s="13"/>
      <c r="R9" s="125"/>
    </row>
    <row r="10" spans="1:26" ht="16" x14ac:dyDescent="0.2">
      <c r="A10" s="127" t="s">
        <v>593</v>
      </c>
      <c r="B10" s="7"/>
      <c r="C10" s="128">
        <v>7</v>
      </c>
      <c r="D10" s="32">
        <f>SUM(G10:P10)</f>
        <v>0</v>
      </c>
      <c r="E10" s="33">
        <f>IF(D10&gt;C10,1,IFERROR(D10/C10,""))</f>
        <v>0</v>
      </c>
      <c r="F10" s="7"/>
      <c r="G10" s="13"/>
      <c r="H10" s="74"/>
      <c r="I10" s="13"/>
      <c r="J10" s="13"/>
      <c r="K10" s="13"/>
      <c r="L10" s="132"/>
      <c r="M10" s="13"/>
      <c r="N10" s="13"/>
      <c r="O10" s="13"/>
    </row>
    <row r="11" spans="1:26" ht="16" x14ac:dyDescent="0.2">
      <c r="C11" s="123"/>
      <c r="P11" s="76"/>
      <c r="S11" s="76"/>
    </row>
    <row r="12" spans="1:26" ht="16" x14ac:dyDescent="0.2">
      <c r="A12" s="10" t="s">
        <v>564</v>
      </c>
      <c r="B12" s="3"/>
      <c r="C12" s="124" t="s">
        <v>553</v>
      </c>
      <c r="D12" s="124" t="s">
        <v>554</v>
      </c>
      <c r="E12" s="124" t="s">
        <v>49</v>
      </c>
      <c r="G12" s="12"/>
      <c r="H12" s="12"/>
      <c r="I12" s="12"/>
      <c r="J12" s="12"/>
      <c r="K12" s="12"/>
      <c r="L12" s="12"/>
      <c r="M12" s="12"/>
      <c r="N12" s="12"/>
      <c r="O12" s="12"/>
      <c r="P12" s="12"/>
      <c r="Q12" s="12"/>
      <c r="R12" s="76"/>
      <c r="S12" s="76"/>
    </row>
    <row r="13" spans="1:26" ht="16" x14ac:dyDescent="0.2">
      <c r="A13" s="76" t="s">
        <v>594</v>
      </c>
      <c r="C13" s="130">
        <v>6</v>
      </c>
      <c r="D13" s="13">
        <f t="shared" ref="D13:D18" si="2">COUNTIF(G13:P13,"X")</f>
        <v>2</v>
      </c>
      <c r="E13" s="33">
        <f t="shared" ref="E13:E17" si="3">IF(D13&gt;C13,1,IFERROR(D13/C13,""))</f>
        <v>0.33333333333333331</v>
      </c>
      <c r="G13" s="13" t="s">
        <v>53</v>
      </c>
      <c r="H13" s="13" t="s">
        <v>53</v>
      </c>
      <c r="I13" s="13"/>
      <c r="J13" s="13"/>
      <c r="K13" s="13"/>
      <c r="L13" s="132"/>
      <c r="M13" s="132"/>
      <c r="N13" s="132"/>
      <c r="O13" s="132"/>
      <c r="P13" s="136"/>
      <c r="Q13" s="132"/>
      <c r="S13" s="76"/>
    </row>
    <row r="14" spans="1:26" ht="16" x14ac:dyDescent="0.2">
      <c r="A14" s="76" t="s">
        <v>566</v>
      </c>
      <c r="C14" s="130">
        <v>5</v>
      </c>
      <c r="D14" s="13">
        <f t="shared" si="2"/>
        <v>4</v>
      </c>
      <c r="E14" s="33">
        <f t="shared" si="3"/>
        <v>0.8</v>
      </c>
      <c r="G14" s="13" t="s">
        <v>53</v>
      </c>
      <c r="H14" s="13" t="s">
        <v>53</v>
      </c>
      <c r="I14" s="13" t="s">
        <v>53</v>
      </c>
      <c r="J14" s="13" t="s">
        <v>53</v>
      </c>
      <c r="K14" s="13"/>
      <c r="L14" s="132"/>
      <c r="M14" s="132"/>
      <c r="N14" s="132"/>
      <c r="O14" s="132"/>
      <c r="P14" s="132"/>
      <c r="Q14" s="132"/>
      <c r="S14" s="76"/>
    </row>
    <row r="15" spans="1:26" ht="16" x14ac:dyDescent="0.2">
      <c r="A15" s="76" t="s">
        <v>567</v>
      </c>
      <c r="C15" s="130">
        <v>5</v>
      </c>
      <c r="D15" s="13">
        <f t="shared" si="2"/>
        <v>4</v>
      </c>
      <c r="E15" s="33">
        <f t="shared" si="3"/>
        <v>0.8</v>
      </c>
      <c r="G15" s="13" t="s">
        <v>53</v>
      </c>
      <c r="H15" s="13" t="s">
        <v>53</v>
      </c>
      <c r="I15" s="13" t="s">
        <v>53</v>
      </c>
      <c r="J15" s="13" t="s">
        <v>53</v>
      </c>
      <c r="K15" s="13"/>
      <c r="L15" s="132"/>
      <c r="M15" s="132"/>
      <c r="N15" s="132"/>
      <c r="O15" s="132"/>
      <c r="P15" s="132"/>
      <c r="Q15" s="132"/>
      <c r="S15" s="76"/>
    </row>
    <row r="16" spans="1:26" ht="16" x14ac:dyDescent="0.2">
      <c r="A16" s="76" t="s">
        <v>568</v>
      </c>
      <c r="C16" s="130">
        <v>5</v>
      </c>
      <c r="D16" s="13">
        <f t="shared" si="2"/>
        <v>4</v>
      </c>
      <c r="E16" s="33">
        <f t="shared" si="3"/>
        <v>0.8</v>
      </c>
      <c r="G16" s="13" t="s">
        <v>53</v>
      </c>
      <c r="H16" s="13" t="s">
        <v>53</v>
      </c>
      <c r="I16" s="13" t="s">
        <v>53</v>
      </c>
      <c r="J16" s="13" t="s">
        <v>53</v>
      </c>
      <c r="K16" s="13"/>
      <c r="L16" s="132"/>
      <c r="M16" s="132"/>
      <c r="N16" s="132"/>
      <c r="O16" s="13"/>
      <c r="P16" s="13"/>
      <c r="Q16" s="132"/>
      <c r="R16" s="125"/>
      <c r="S16" s="76"/>
    </row>
    <row r="17" spans="1:19" ht="16" x14ac:dyDescent="0.2">
      <c r="A17" s="76" t="s">
        <v>569</v>
      </c>
      <c r="C17" s="130">
        <v>5</v>
      </c>
      <c r="D17" s="13">
        <f t="shared" si="2"/>
        <v>4</v>
      </c>
      <c r="E17" s="33">
        <f t="shared" si="3"/>
        <v>0.8</v>
      </c>
      <c r="G17" s="13" t="s">
        <v>53</v>
      </c>
      <c r="H17" s="13" t="s">
        <v>53</v>
      </c>
      <c r="I17" s="13" t="s">
        <v>53</v>
      </c>
      <c r="J17" s="13" t="s">
        <v>53</v>
      </c>
      <c r="K17" s="13"/>
      <c r="L17" s="132"/>
      <c r="M17" s="132"/>
      <c r="N17" s="13"/>
      <c r="O17" s="132"/>
      <c r="P17" s="132"/>
      <c r="Q17" s="132"/>
      <c r="R17" s="126"/>
      <c r="S17" s="76"/>
    </row>
    <row r="18" spans="1:19" ht="16" x14ac:dyDescent="0.2">
      <c r="A18" s="76" t="s">
        <v>570</v>
      </c>
      <c r="C18" s="130">
        <v>5</v>
      </c>
      <c r="D18" s="13">
        <f t="shared" si="2"/>
        <v>4</v>
      </c>
      <c r="E18" s="33">
        <f>IF(D18&gt;C18,1,IFERROR(D18/C18,""))</f>
        <v>0.8</v>
      </c>
      <c r="G18" s="13" t="s">
        <v>53</v>
      </c>
      <c r="H18" s="13" t="s">
        <v>53</v>
      </c>
      <c r="I18" s="13" t="s">
        <v>53</v>
      </c>
      <c r="J18" s="13" t="s">
        <v>53</v>
      </c>
      <c r="K18" s="13"/>
      <c r="L18" s="132"/>
      <c r="M18" s="132"/>
      <c r="N18" s="132"/>
      <c r="O18" s="13"/>
      <c r="P18" s="13"/>
      <c r="Q18" s="132"/>
      <c r="S18" s="7"/>
    </row>
    <row r="19" spans="1:19" x14ac:dyDescent="0.2"/>
    <row r="20" spans="1:19" ht="16" hidden="1" x14ac:dyDescent="0.2">
      <c r="A20" s="78" t="s">
        <v>571</v>
      </c>
      <c r="B20" s="80"/>
      <c r="C20" s="124" t="s">
        <v>553</v>
      </c>
      <c r="D20" s="124" t="s">
        <v>554</v>
      </c>
      <c r="E20" s="124" t="s">
        <v>49</v>
      </c>
      <c r="G20" s="12"/>
      <c r="H20" s="12"/>
      <c r="I20" s="12"/>
      <c r="J20" s="12"/>
      <c r="K20" s="12"/>
      <c r="L20" s="12"/>
      <c r="M20" s="12"/>
      <c r="N20" s="12"/>
      <c r="O20" s="12"/>
      <c r="P20" s="12"/>
    </row>
    <row r="21" spans="1:19" ht="16" hidden="1" x14ac:dyDescent="0.2">
      <c r="A21" s="76" t="s">
        <v>572</v>
      </c>
      <c r="C21" s="130">
        <v>3</v>
      </c>
      <c r="D21" s="13">
        <f t="shared" ref="D21:D23" si="4">COUNTIF(G21:P21,"X")</f>
        <v>0</v>
      </c>
      <c r="E21" s="33">
        <f>IF(D21&gt;C21,1,IFERROR(D21/C21,""))</f>
        <v>0</v>
      </c>
      <c r="G21" s="13"/>
      <c r="H21" s="13"/>
      <c r="I21" s="13"/>
      <c r="J21" s="137"/>
      <c r="K21" s="13"/>
      <c r="L21" s="137"/>
      <c r="M21" s="13"/>
      <c r="N21" s="13"/>
      <c r="O21" s="13"/>
      <c r="P21" s="13"/>
      <c r="R21" s="126"/>
    </row>
    <row r="22" spans="1:19" ht="16" hidden="1" x14ac:dyDescent="0.2">
      <c r="A22" s="76" t="s">
        <v>573</v>
      </c>
      <c r="C22" s="130">
        <v>10</v>
      </c>
      <c r="D22" s="13">
        <f t="shared" si="4"/>
        <v>0</v>
      </c>
      <c r="E22" s="33">
        <f>IF(D22&gt;C22,1,IFERROR(D22/C22,""))</f>
        <v>0</v>
      </c>
      <c r="G22" s="137"/>
      <c r="H22" s="137"/>
      <c r="I22" s="137"/>
      <c r="J22" s="137"/>
      <c r="K22" s="137"/>
      <c r="L22" s="137"/>
      <c r="M22" s="137"/>
      <c r="N22" s="137"/>
      <c r="O22" s="137"/>
      <c r="P22" s="137"/>
    </row>
    <row r="23" spans="1:19" ht="16" hidden="1" x14ac:dyDescent="0.2">
      <c r="A23" s="76" t="s">
        <v>574</v>
      </c>
      <c r="C23" s="130">
        <v>10</v>
      </c>
      <c r="D23" s="13">
        <f t="shared" si="4"/>
        <v>0</v>
      </c>
      <c r="E23" s="33">
        <f>IF(D23&gt;C23,1,IFERROR(D23/C23,""))</f>
        <v>0</v>
      </c>
      <c r="G23" s="137"/>
      <c r="H23" s="137"/>
      <c r="I23" s="137"/>
      <c r="J23" s="137"/>
      <c r="K23" s="137"/>
      <c r="L23" s="137"/>
      <c r="M23" s="137"/>
      <c r="N23" s="137"/>
      <c r="O23" s="137"/>
      <c r="P23" s="137"/>
    </row>
    <row r="24" spans="1:19" ht="16" hidden="1" x14ac:dyDescent="0.2">
      <c r="A24" s="76"/>
      <c r="C24" s="130"/>
      <c r="D24" s="13"/>
      <c r="E24" s="13"/>
      <c r="G24" s="13"/>
      <c r="H24" s="13"/>
      <c r="I24" s="13"/>
      <c r="J24" s="13"/>
      <c r="K24" s="13"/>
      <c r="L24" s="133"/>
      <c r="M24" s="13"/>
      <c r="N24" s="13"/>
      <c r="O24" s="13"/>
      <c r="P24" s="13"/>
    </row>
    <row r="25" spans="1:19" ht="16" hidden="1" x14ac:dyDescent="0.2">
      <c r="A25" s="127"/>
      <c r="C25" s="130"/>
      <c r="D25" s="13"/>
      <c r="E25" s="13"/>
      <c r="G25" s="13"/>
      <c r="H25" s="13"/>
      <c r="I25" s="13"/>
      <c r="J25" s="13"/>
      <c r="K25" s="13"/>
      <c r="L25" s="133"/>
      <c r="M25" s="13"/>
      <c r="N25" s="13"/>
      <c r="O25" s="13"/>
      <c r="P25" s="13"/>
      <c r="R25" s="126"/>
    </row>
    <row r="26" spans="1:19" ht="16" x14ac:dyDescent="0.2">
      <c r="A26" s="127"/>
      <c r="C26" s="127"/>
      <c r="G26" s="129"/>
      <c r="N26" s="118"/>
      <c r="O26" s="118"/>
    </row>
    <row r="27" spans="1:19" ht="16" x14ac:dyDescent="0.2">
      <c r="A27" s="7"/>
      <c r="N27" s="118"/>
      <c r="O27" s="118"/>
    </row>
    <row r="28" spans="1:19" ht="16" x14ac:dyDescent="0.2">
      <c r="A28" s="78" t="s">
        <v>575</v>
      </c>
      <c r="B28" s="80"/>
      <c r="C28" s="124" t="s">
        <v>553</v>
      </c>
      <c r="D28" s="124" t="s">
        <v>554</v>
      </c>
      <c r="E28" s="124" t="s">
        <v>49</v>
      </c>
      <c r="G28" s="12" t="s">
        <v>555</v>
      </c>
      <c r="H28" s="12" t="s">
        <v>556</v>
      </c>
      <c r="I28" s="12" t="s">
        <v>557</v>
      </c>
      <c r="J28" s="12" t="s">
        <v>558</v>
      </c>
      <c r="K28" s="12" t="s">
        <v>1</v>
      </c>
      <c r="L28" s="12" t="s">
        <v>50</v>
      </c>
      <c r="M28" s="12" t="s">
        <v>3</v>
      </c>
      <c r="N28" s="12" t="s">
        <v>559</v>
      </c>
      <c r="O28" s="12" t="s">
        <v>560</v>
      </c>
    </row>
    <row r="29" spans="1:19" ht="16" x14ac:dyDescent="0.2">
      <c r="A29" s="127" t="s">
        <v>607</v>
      </c>
      <c r="C29" s="130">
        <v>5</v>
      </c>
      <c r="D29" s="13">
        <f t="shared" ref="D29:D35" si="5">COUNTIF(G29:P29,"X")</f>
        <v>2</v>
      </c>
      <c r="E29" s="33">
        <f>IF(D29&gt;C29,1,IFERROR(D29/C29,""))</f>
        <v>0.4</v>
      </c>
      <c r="G29" s="13" t="s">
        <v>53</v>
      </c>
      <c r="H29" s="13"/>
      <c r="I29" s="13"/>
      <c r="J29" s="13"/>
      <c r="K29" s="13"/>
      <c r="L29" s="132"/>
      <c r="M29" s="136" t="s">
        <v>53</v>
      </c>
      <c r="N29" s="132"/>
      <c r="O29" s="132"/>
      <c r="R29" s="126"/>
    </row>
    <row r="30" spans="1:19" ht="16" x14ac:dyDescent="0.2">
      <c r="A30" s="127" t="s">
        <v>577</v>
      </c>
      <c r="C30" s="130">
        <v>4</v>
      </c>
      <c r="D30" s="13">
        <f t="shared" si="5"/>
        <v>5</v>
      </c>
      <c r="E30" s="33">
        <f>IF(D30&gt;C30,1,IFERROR(D30/C30,""))</f>
        <v>1</v>
      </c>
      <c r="G30" s="13" t="s">
        <v>53</v>
      </c>
      <c r="H30" s="13" t="s">
        <v>53</v>
      </c>
      <c r="I30" s="13" t="s">
        <v>53</v>
      </c>
      <c r="J30" s="13" t="s">
        <v>53</v>
      </c>
      <c r="K30" s="13"/>
      <c r="L30" s="132"/>
      <c r="M30" s="136" t="s">
        <v>53</v>
      </c>
      <c r="N30" s="132"/>
      <c r="O30" s="132"/>
      <c r="R30" s="126"/>
    </row>
    <row r="31" spans="1:19" ht="17" x14ac:dyDescent="0.2">
      <c r="A31" s="131" t="s">
        <v>589</v>
      </c>
      <c r="C31" s="130">
        <v>5</v>
      </c>
      <c r="D31" s="13">
        <f t="shared" si="5"/>
        <v>1</v>
      </c>
      <c r="E31" s="33">
        <f>IF(D31&gt;C31,1,IFERROR(D31/C31,""))</f>
        <v>0.2</v>
      </c>
      <c r="G31" s="13"/>
      <c r="H31" s="13"/>
      <c r="I31" s="13"/>
      <c r="J31" s="13"/>
      <c r="K31" s="13"/>
      <c r="L31" s="13"/>
      <c r="M31" s="136" t="s">
        <v>53</v>
      </c>
      <c r="N31" s="13"/>
      <c r="O31" s="13"/>
      <c r="R31" s="126"/>
    </row>
    <row r="32" spans="1:19" x14ac:dyDescent="0.2">
      <c r="C32" s="130">
        <v>3</v>
      </c>
      <c r="D32" s="13">
        <f t="shared" si="5"/>
        <v>0</v>
      </c>
      <c r="E32" s="33">
        <f>IF(D32&gt;C32,1,IFERROR(D32/C32,""))</f>
        <v>0</v>
      </c>
      <c r="G32" s="13"/>
      <c r="H32" s="13"/>
      <c r="I32" s="13"/>
      <c r="J32" s="13"/>
      <c r="K32" s="13"/>
      <c r="L32" s="13"/>
      <c r="M32" s="13"/>
      <c r="N32" s="13"/>
      <c r="O32" s="13"/>
      <c r="P32" s="126"/>
    </row>
    <row r="33" spans="1:16" ht="16" x14ac:dyDescent="0.2">
      <c r="A33" s="127"/>
      <c r="C33" s="130">
        <v>6</v>
      </c>
      <c r="D33" s="13">
        <f t="shared" si="5"/>
        <v>0</v>
      </c>
      <c r="E33" s="33">
        <f t="shared" ref="E33:E35" si="6">IF(D33&gt;C33,1,IFERROR(D33/C33,""))</f>
        <v>0</v>
      </c>
      <c r="G33" s="13"/>
      <c r="H33" s="13"/>
      <c r="I33" s="13"/>
      <c r="J33" s="13"/>
      <c r="K33" s="13"/>
      <c r="L33" s="13"/>
      <c r="M33" s="13"/>
      <c r="N33" s="13"/>
      <c r="O33" s="13"/>
      <c r="P33" s="126"/>
    </row>
    <row r="34" spans="1:16" ht="16" x14ac:dyDescent="0.2">
      <c r="A34" s="127"/>
      <c r="C34" s="130">
        <v>9</v>
      </c>
      <c r="D34" s="13">
        <f t="shared" si="5"/>
        <v>0</v>
      </c>
      <c r="E34" s="33">
        <f t="shared" si="6"/>
        <v>0</v>
      </c>
      <c r="G34" s="13"/>
      <c r="H34" s="13"/>
      <c r="I34" s="13"/>
      <c r="J34" s="13"/>
      <c r="K34" s="13"/>
      <c r="L34" s="13"/>
      <c r="M34" s="13"/>
      <c r="N34" s="13"/>
      <c r="O34" s="13"/>
    </row>
    <row r="35" spans="1:16" ht="16" x14ac:dyDescent="0.2">
      <c r="A35" s="127"/>
      <c r="C35" s="130">
        <v>1</v>
      </c>
      <c r="D35" s="13">
        <f t="shared" si="5"/>
        <v>0</v>
      </c>
      <c r="E35" s="33">
        <f t="shared" si="6"/>
        <v>0</v>
      </c>
      <c r="G35" s="13"/>
      <c r="H35" s="13"/>
      <c r="I35" s="13"/>
      <c r="J35" s="13"/>
      <c r="K35" s="13"/>
      <c r="L35" s="13"/>
      <c r="M35" s="13"/>
      <c r="N35" s="13"/>
      <c r="O35" s="13"/>
    </row>
    <row r="36" spans="1:16" x14ac:dyDescent="0.2"/>
  </sheetData>
  <conditionalFormatting sqref="E5:E10 E13:E18 E21:E23">
    <cfRule type="cellIs" dxfId="116" priority="17" operator="between">
      <formula>0</formula>
      <formula>0.64</formula>
    </cfRule>
    <cfRule type="cellIs" dxfId="115" priority="18" operator="between">
      <formula>0.64</formula>
      <formula>0.8</formula>
    </cfRule>
    <cfRule type="cellIs" dxfId="114" priority="19" operator="between">
      <formula>0.79</formula>
      <formula>0.9</formula>
    </cfRule>
    <cfRule type="cellIs" dxfId="113" priority="20" operator="between">
      <formula>0.89</formula>
      <formula>1</formula>
    </cfRule>
  </conditionalFormatting>
  <conditionalFormatting sqref="E29:E35">
    <cfRule type="cellIs" dxfId="112" priority="11" operator="between">
      <formula>0</formula>
      <formula>0.64</formula>
    </cfRule>
    <cfRule type="cellIs" dxfId="111" priority="12" operator="between">
      <formula>0.64</formula>
      <formula>0.8</formula>
    </cfRule>
    <cfRule type="cellIs" dxfId="110" priority="13" operator="between">
      <formula>0.79</formula>
      <formula>0.9</formula>
    </cfRule>
    <cfRule type="cellIs" dxfId="109" priority="14" operator="between">
      <formula>0.89</formula>
      <formula>1</formula>
    </cfRule>
  </conditionalFormatting>
  <conditionalFormatting sqref="G28:K28">
    <cfRule type="cellIs" dxfId="108" priority="1" operator="equal">
      <formula>1</formula>
    </cfRule>
  </conditionalFormatting>
  <conditionalFormatting sqref="G16:L18">
    <cfRule type="cellIs" dxfId="107" priority="2" operator="equal">
      <formula>"x"</formula>
    </cfRule>
  </conditionalFormatting>
  <conditionalFormatting sqref="G5:O11">
    <cfRule type="cellIs" dxfId="106" priority="9" operator="equal">
      <formula>1</formula>
    </cfRule>
  </conditionalFormatting>
  <conditionalFormatting sqref="G19:O19 G26:O27 G29:O36">
    <cfRule type="cellIs" dxfId="105" priority="15" operator="equal">
      <formula>"x"</formula>
    </cfRule>
  </conditionalFormatting>
  <conditionalFormatting sqref="G20:P25">
    <cfRule type="cellIs" dxfId="104" priority="10" operator="equal">
      <formula>"x"</formula>
    </cfRule>
  </conditionalFormatting>
  <conditionalFormatting sqref="G12:Q15">
    <cfRule type="cellIs" dxfId="103" priority="4" operator="equal">
      <formula>"x"</formula>
    </cfRule>
  </conditionalFormatting>
  <conditionalFormatting sqref="H4:K4 G4:G6">
    <cfRule type="cellIs" dxfId="102" priority="16" operator="equal">
      <formula>1</formula>
    </cfRule>
  </conditionalFormatting>
  <conditionalFormatting sqref="M16:M17">
    <cfRule type="cellIs" dxfId="101" priority="7" operator="equal">
      <formula>1</formula>
    </cfRule>
  </conditionalFormatting>
  <conditionalFormatting sqref="M18:N18">
    <cfRule type="cellIs" dxfId="100" priority="6" operator="equal">
      <formula>1</formula>
    </cfRule>
  </conditionalFormatting>
  <conditionalFormatting sqref="N16:P17">
    <cfRule type="cellIs" dxfId="99" priority="3" operator="equal">
      <formula>"x"</formula>
    </cfRule>
  </conditionalFormatting>
  <conditionalFormatting sqref="O18:P18">
    <cfRule type="cellIs" dxfId="98" priority="5" operator="equal">
      <formula>"x"</formula>
    </cfRule>
  </conditionalFormatting>
  <conditionalFormatting sqref="Q16:Q18">
    <cfRule type="cellIs" dxfId="97" priority="8" operator="equal">
      <formula>1</formula>
    </cfRule>
  </conditionalFormatting>
  <pageMargins left="0.7" right="0.7" top="0.75" bottom="0.75" header="0.3" footer="0.3"/>
  <pageSetup paperSize="9" orientation="portrait"/>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237B-4F38-4E2A-87C1-D47871F0FBEB}">
  <dimension ref="A2:AA36"/>
  <sheetViews>
    <sheetView showGridLines="0" zoomScale="83" zoomScaleNormal="83" workbookViewId="0">
      <selection activeCell="M32" sqref="M32"/>
    </sheetView>
  </sheetViews>
  <sheetFormatPr baseColWidth="10" defaultColWidth="9.1640625" defaultRowHeight="15" customHeight="1" x14ac:dyDescent="0.2"/>
  <cols>
    <col min="1" max="1" width="51.5" customWidth="1"/>
    <col min="2" max="2" width="11.5" customWidth="1"/>
    <col min="3" max="3" width="13.5" customWidth="1"/>
    <col min="4" max="4" width="11.5" customWidth="1"/>
    <col min="5" max="5" width="12.1640625" customWidth="1"/>
    <col min="6" max="6" width="3.5" customWidth="1"/>
    <col min="7" max="18" width="10.5" customWidth="1"/>
  </cols>
  <sheetData>
    <row r="2" spans="1:27" ht="19" x14ac:dyDescent="0.25">
      <c r="A2" s="122" t="s">
        <v>551</v>
      </c>
    </row>
    <row r="3" spans="1:27" x14ac:dyDescent="0.2"/>
    <row r="4" spans="1:27" ht="17" thickBot="1" x14ac:dyDescent="0.25">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S4" s="124" t="s">
        <v>561</v>
      </c>
      <c r="T4" s="124"/>
      <c r="U4" s="124"/>
      <c r="V4" s="124"/>
      <c r="W4" s="124"/>
      <c r="X4" s="124"/>
      <c r="Y4" s="124"/>
      <c r="Z4" s="124"/>
      <c r="AA4" s="124"/>
    </row>
    <row r="5" spans="1:27" ht="17" thickTop="1" x14ac:dyDescent="0.2">
      <c r="A5" s="127" t="s">
        <v>562</v>
      </c>
      <c r="B5" s="7"/>
      <c r="C5" s="128">
        <v>9</v>
      </c>
      <c r="D5" s="32">
        <f>SUM(G5:Q5)</f>
        <v>11</v>
      </c>
      <c r="E5" s="33">
        <f>IF(D5&gt;C5,1,IFERROR(D5/C5,""))</f>
        <v>1</v>
      </c>
      <c r="F5" s="7"/>
      <c r="G5" s="13">
        <v>2</v>
      </c>
      <c r="H5" s="13">
        <v>2</v>
      </c>
      <c r="I5" s="13">
        <v>4</v>
      </c>
      <c r="J5" s="13"/>
      <c r="K5" s="13"/>
      <c r="L5" s="132"/>
      <c r="M5" s="13">
        <v>1</v>
      </c>
      <c r="N5" s="13">
        <v>1</v>
      </c>
      <c r="O5" s="13">
        <v>1</v>
      </c>
    </row>
    <row r="6" spans="1:27" ht="16" x14ac:dyDescent="0.2">
      <c r="A6" s="127" t="s">
        <v>563</v>
      </c>
      <c r="B6" s="7"/>
      <c r="C6" s="128">
        <v>9</v>
      </c>
      <c r="D6" s="32">
        <f>SUM(G6:Q6)</f>
        <v>26</v>
      </c>
      <c r="E6" s="33">
        <f>IF(D6&gt;C6,1,IFERROR(D6/C6,""))</f>
        <v>1</v>
      </c>
      <c r="F6" s="7"/>
      <c r="G6" s="13">
        <v>6</v>
      </c>
      <c r="H6" s="13">
        <v>5</v>
      </c>
      <c r="I6" s="13">
        <v>6</v>
      </c>
      <c r="J6" s="13"/>
      <c r="K6" s="13"/>
      <c r="L6" s="132"/>
      <c r="M6" s="13">
        <v>3</v>
      </c>
      <c r="N6" s="136">
        <v>4</v>
      </c>
      <c r="O6" s="136">
        <v>2</v>
      </c>
    </row>
    <row r="7" spans="1:27" ht="16" x14ac:dyDescent="0.2">
      <c r="A7" s="127" t="s">
        <v>583</v>
      </c>
      <c r="C7" s="128">
        <v>7</v>
      </c>
      <c r="D7" s="32">
        <f>SUM(G7:Q7)</f>
        <v>4</v>
      </c>
      <c r="E7" s="33">
        <f>IF(D7&gt;C7,1,IFERROR(D7/C7,""))</f>
        <v>0.5714285714285714</v>
      </c>
      <c r="G7" s="136">
        <v>1</v>
      </c>
      <c r="H7" s="136"/>
      <c r="I7" s="136">
        <v>1</v>
      </c>
      <c r="J7" s="136">
        <v>1</v>
      </c>
      <c r="K7" s="13"/>
      <c r="L7" s="132"/>
      <c r="M7" s="136">
        <v>1</v>
      </c>
      <c r="N7" s="13"/>
      <c r="O7" s="13"/>
      <c r="S7" s="125"/>
    </row>
    <row r="8" spans="1:27" ht="16" x14ac:dyDescent="0.2">
      <c r="A8" s="127" t="s">
        <v>591</v>
      </c>
      <c r="C8" s="128">
        <v>7</v>
      </c>
      <c r="D8" s="32"/>
      <c r="E8" s="33"/>
      <c r="G8" s="136"/>
      <c r="H8" s="136"/>
      <c r="I8" s="136"/>
      <c r="J8" s="136"/>
      <c r="K8" s="13"/>
      <c r="L8" s="132"/>
      <c r="M8" s="136"/>
      <c r="N8" s="13"/>
      <c r="O8" s="13"/>
      <c r="S8" s="125"/>
    </row>
    <row r="9" spans="1:27" ht="16" x14ac:dyDescent="0.2">
      <c r="A9" s="127" t="s">
        <v>592</v>
      </c>
      <c r="C9" s="128">
        <v>2</v>
      </c>
      <c r="D9" s="32"/>
      <c r="E9" s="33"/>
      <c r="G9" s="136"/>
      <c r="H9" s="136"/>
      <c r="I9" s="136"/>
      <c r="J9" s="136"/>
      <c r="K9" s="13"/>
      <c r="L9" s="132"/>
      <c r="M9" s="136"/>
      <c r="N9" s="13"/>
      <c r="O9" s="13"/>
      <c r="S9" s="125"/>
    </row>
    <row r="10" spans="1:27" ht="16" x14ac:dyDescent="0.2">
      <c r="A10" s="127" t="s">
        <v>593</v>
      </c>
      <c r="B10" s="7"/>
      <c r="C10" s="128">
        <v>7</v>
      </c>
      <c r="D10" s="32">
        <f>SUM(G10:Q10)</f>
        <v>0</v>
      </c>
      <c r="E10" s="33">
        <f>IF(D10&gt;C10,1,IFERROR(D10/C10,""))</f>
        <v>0</v>
      </c>
      <c r="F10" s="7"/>
      <c r="G10" s="13"/>
      <c r="H10" s="13"/>
      <c r="I10" s="13"/>
      <c r="J10" s="13"/>
      <c r="K10" s="13"/>
      <c r="L10" s="132"/>
      <c r="M10" s="13"/>
      <c r="N10" s="13"/>
      <c r="O10" s="13"/>
    </row>
    <row r="11" spans="1:27" ht="16" x14ac:dyDescent="0.2">
      <c r="C11" s="123"/>
      <c r="Q11" s="76"/>
      <c r="T11" s="76"/>
    </row>
    <row r="12" spans="1:27" ht="17" thickBot="1" x14ac:dyDescent="0.25">
      <c r="A12" s="10" t="s">
        <v>564</v>
      </c>
      <c r="B12" s="3"/>
      <c r="C12" s="124" t="s">
        <v>553</v>
      </c>
      <c r="D12" s="124" t="s">
        <v>554</v>
      </c>
      <c r="E12" s="124" t="s">
        <v>49</v>
      </c>
      <c r="G12" s="12" t="s">
        <v>555</v>
      </c>
      <c r="H12" s="12" t="s">
        <v>556</v>
      </c>
      <c r="I12" s="12" t="s">
        <v>557</v>
      </c>
      <c r="J12" s="12" t="s">
        <v>558</v>
      </c>
      <c r="K12" s="12" t="s">
        <v>608</v>
      </c>
      <c r="L12" s="12" t="s">
        <v>609</v>
      </c>
      <c r="M12" s="12" t="s">
        <v>50</v>
      </c>
      <c r="N12" s="12" t="s">
        <v>3</v>
      </c>
      <c r="O12" s="12" t="s">
        <v>559</v>
      </c>
      <c r="P12" s="12" t="s">
        <v>560</v>
      </c>
      <c r="Q12" s="12"/>
      <c r="R12" s="12"/>
      <c r="S12" s="76"/>
      <c r="T12" s="76"/>
    </row>
    <row r="13" spans="1:27" ht="17" thickTop="1" x14ac:dyDescent="0.2">
      <c r="A13" s="76" t="s">
        <v>594</v>
      </c>
      <c r="C13" s="130">
        <v>6</v>
      </c>
      <c r="D13" s="13">
        <f t="shared" ref="D13:D18" si="0">COUNTIF(G13:Q13,"X")</f>
        <v>2</v>
      </c>
      <c r="E13" s="33">
        <f t="shared" ref="E13:E17" si="1">IF(D13&gt;C13,1,IFERROR(D13/C13,""))</f>
        <v>0.33333333333333331</v>
      </c>
      <c r="G13" s="13"/>
      <c r="H13" s="13"/>
      <c r="I13" s="13" t="s">
        <v>53</v>
      </c>
      <c r="J13" s="13" t="s">
        <v>53</v>
      </c>
      <c r="K13" s="13"/>
      <c r="L13" s="13"/>
      <c r="M13" s="132"/>
      <c r="N13" s="136"/>
      <c r="O13" s="132"/>
      <c r="P13" s="132"/>
      <c r="Q13" s="136"/>
      <c r="R13" s="132"/>
      <c r="T13" s="76"/>
    </row>
    <row r="14" spans="1:27" ht="16" x14ac:dyDescent="0.2">
      <c r="A14" s="76" t="s">
        <v>566</v>
      </c>
      <c r="C14" s="130">
        <v>5</v>
      </c>
      <c r="D14" s="13">
        <f t="shared" si="0"/>
        <v>6</v>
      </c>
      <c r="E14" s="33">
        <f t="shared" si="1"/>
        <v>1</v>
      </c>
      <c r="G14" s="13" t="s">
        <v>53</v>
      </c>
      <c r="H14" s="13" t="s">
        <v>53</v>
      </c>
      <c r="I14" s="13" t="s">
        <v>53</v>
      </c>
      <c r="J14" s="13" t="s">
        <v>53</v>
      </c>
      <c r="K14" s="13" t="s">
        <v>53</v>
      </c>
      <c r="L14" s="13"/>
      <c r="M14" s="132"/>
      <c r="N14" s="136" t="s">
        <v>53</v>
      </c>
      <c r="O14" s="132"/>
      <c r="P14" s="132"/>
      <c r="Q14" s="132"/>
      <c r="R14" s="132"/>
      <c r="T14" s="76"/>
    </row>
    <row r="15" spans="1:27" ht="16" x14ac:dyDescent="0.2">
      <c r="A15" s="76" t="s">
        <v>567</v>
      </c>
      <c r="C15" s="130">
        <v>5</v>
      </c>
      <c r="D15" s="13">
        <f t="shared" si="0"/>
        <v>6</v>
      </c>
      <c r="E15" s="33">
        <f t="shared" si="1"/>
        <v>1</v>
      </c>
      <c r="G15" s="13" t="s">
        <v>53</v>
      </c>
      <c r="H15" s="13" t="s">
        <v>53</v>
      </c>
      <c r="I15" s="13" t="s">
        <v>53</v>
      </c>
      <c r="J15" s="13" t="s">
        <v>53</v>
      </c>
      <c r="K15" s="13" t="s">
        <v>53</v>
      </c>
      <c r="L15" s="13" t="s">
        <v>53</v>
      </c>
      <c r="M15" s="132"/>
      <c r="N15" s="136"/>
      <c r="O15" s="132"/>
      <c r="P15" s="132"/>
      <c r="Q15" s="132"/>
      <c r="R15" s="132"/>
      <c r="T15" s="76"/>
    </row>
    <row r="16" spans="1:27" ht="16" x14ac:dyDescent="0.2">
      <c r="A16" s="76" t="s">
        <v>568</v>
      </c>
      <c r="C16" s="130">
        <v>5</v>
      </c>
      <c r="D16" s="13">
        <f t="shared" si="0"/>
        <v>6</v>
      </c>
      <c r="E16" s="33">
        <f t="shared" si="1"/>
        <v>1</v>
      </c>
      <c r="G16" s="13" t="s">
        <v>53</v>
      </c>
      <c r="H16" s="13" t="s">
        <v>53</v>
      </c>
      <c r="I16" s="13" t="s">
        <v>53</v>
      </c>
      <c r="J16" s="13" t="s">
        <v>53</v>
      </c>
      <c r="K16" s="13"/>
      <c r="L16" s="13" t="s">
        <v>53</v>
      </c>
      <c r="M16" s="132"/>
      <c r="N16" s="136" t="s">
        <v>53</v>
      </c>
      <c r="O16" s="132"/>
      <c r="P16" s="13"/>
      <c r="Q16" s="13"/>
      <c r="R16" s="132"/>
      <c r="S16" s="125"/>
      <c r="T16" s="76"/>
    </row>
    <row r="17" spans="1:20" ht="16" x14ac:dyDescent="0.2">
      <c r="A17" s="76" t="s">
        <v>569</v>
      </c>
      <c r="C17" s="130">
        <v>4</v>
      </c>
      <c r="D17" s="13">
        <f t="shared" si="0"/>
        <v>2</v>
      </c>
      <c r="E17" s="33">
        <f t="shared" si="1"/>
        <v>0.5</v>
      </c>
      <c r="G17" s="13"/>
      <c r="H17" s="13"/>
      <c r="I17" s="13" t="s">
        <v>53</v>
      </c>
      <c r="J17" s="13" t="s">
        <v>53</v>
      </c>
      <c r="K17" s="13"/>
      <c r="L17" s="132"/>
      <c r="M17" s="132"/>
      <c r="N17" s="136"/>
      <c r="O17" s="13"/>
      <c r="P17" s="132"/>
      <c r="Q17" s="132"/>
      <c r="R17" s="132"/>
      <c r="S17" s="126"/>
      <c r="T17" s="76"/>
    </row>
    <row r="18" spans="1:20" ht="16" x14ac:dyDescent="0.2">
      <c r="A18" s="76" t="s">
        <v>570</v>
      </c>
      <c r="C18" s="130">
        <v>4</v>
      </c>
      <c r="D18" s="13">
        <f t="shared" si="0"/>
        <v>2</v>
      </c>
      <c r="E18" s="33">
        <f>IF(D18&gt;C18,1,IFERROR(D18/C18,""))</f>
        <v>0.5</v>
      </c>
      <c r="G18" s="13"/>
      <c r="H18" s="13"/>
      <c r="I18" s="13" t="s">
        <v>53</v>
      </c>
      <c r="J18" s="13" t="s">
        <v>53</v>
      </c>
      <c r="K18" s="13"/>
      <c r="L18" s="132"/>
      <c r="M18" s="132"/>
      <c r="N18" s="136"/>
      <c r="O18" s="132"/>
      <c r="P18" s="13"/>
      <c r="Q18" s="13"/>
      <c r="R18" s="132"/>
      <c r="T18" s="7"/>
    </row>
    <row r="19" spans="1:20" x14ac:dyDescent="0.2"/>
    <row r="20" spans="1:20" ht="17" hidden="1" thickBot="1" x14ac:dyDescent="0.25">
      <c r="A20" s="78" t="s">
        <v>571</v>
      </c>
      <c r="B20" s="80"/>
      <c r="C20" s="124" t="s">
        <v>553</v>
      </c>
      <c r="D20" s="124" t="s">
        <v>554</v>
      </c>
      <c r="E20" s="124" t="s">
        <v>49</v>
      </c>
      <c r="G20" s="12"/>
      <c r="H20" s="12"/>
      <c r="I20" s="12"/>
      <c r="J20" s="12"/>
      <c r="K20" s="12"/>
      <c r="L20" s="12"/>
      <c r="M20" s="12"/>
      <c r="N20" s="12"/>
      <c r="O20" s="12"/>
      <c r="P20" s="12"/>
      <c r="Q20" s="12"/>
    </row>
    <row r="21" spans="1:20" ht="16" hidden="1" x14ac:dyDescent="0.2">
      <c r="A21" s="76" t="s">
        <v>572</v>
      </c>
      <c r="C21" s="130">
        <v>3</v>
      </c>
      <c r="D21" s="13">
        <f>COUNTIF(G21:Q21,"X")</f>
        <v>0</v>
      </c>
      <c r="E21" s="33">
        <f>IF(D21&gt;C21,1,IFERROR(D21/C21,""))</f>
        <v>0</v>
      </c>
      <c r="G21" s="13"/>
      <c r="H21" s="13"/>
      <c r="I21" s="13"/>
      <c r="J21" s="137"/>
      <c r="K21" s="137"/>
      <c r="L21" s="13"/>
      <c r="M21" s="137"/>
      <c r="N21" s="13"/>
      <c r="O21" s="13"/>
      <c r="P21" s="13"/>
      <c r="Q21" s="13"/>
      <c r="S21" s="126"/>
    </row>
    <row r="22" spans="1:20" ht="16" hidden="1" x14ac:dyDescent="0.2">
      <c r="A22" s="76" t="s">
        <v>573</v>
      </c>
      <c r="C22" s="130">
        <v>10</v>
      </c>
      <c r="D22" s="13">
        <f>COUNTIF(G22:Q22,"X")</f>
        <v>0</v>
      </c>
      <c r="E22" s="33">
        <f>IF(D22&gt;C22,1,IFERROR(D22/C22,""))</f>
        <v>0</v>
      </c>
      <c r="G22" s="137"/>
      <c r="H22" s="137"/>
      <c r="I22" s="137"/>
      <c r="J22" s="137"/>
      <c r="K22" s="137"/>
      <c r="L22" s="137"/>
      <c r="M22" s="137"/>
      <c r="N22" s="137"/>
      <c r="O22" s="137"/>
      <c r="P22" s="137"/>
      <c r="Q22" s="137"/>
    </row>
    <row r="23" spans="1:20" ht="16" hidden="1" x14ac:dyDescent="0.2">
      <c r="A23" s="76" t="s">
        <v>574</v>
      </c>
      <c r="C23" s="130">
        <v>10</v>
      </c>
      <c r="D23" s="13">
        <f>COUNTIF(G23:Q23,"X")</f>
        <v>0</v>
      </c>
      <c r="E23" s="33">
        <f>IF(D23&gt;C23,1,IFERROR(D23/C23,""))</f>
        <v>0</v>
      </c>
      <c r="G23" s="137"/>
      <c r="H23" s="137"/>
      <c r="I23" s="137"/>
      <c r="J23" s="137"/>
      <c r="K23" s="137"/>
      <c r="L23" s="137"/>
      <c r="M23" s="137"/>
      <c r="N23" s="137"/>
      <c r="O23" s="137"/>
      <c r="P23" s="137"/>
      <c r="Q23" s="137"/>
    </row>
    <row r="24" spans="1:20" ht="16" hidden="1" x14ac:dyDescent="0.2">
      <c r="A24" s="76"/>
      <c r="C24" s="130"/>
      <c r="D24" s="13"/>
      <c r="E24" s="13"/>
      <c r="G24" s="13"/>
      <c r="H24" s="13"/>
      <c r="I24" s="13"/>
      <c r="J24" s="13"/>
      <c r="K24" s="13"/>
      <c r="L24" s="13"/>
      <c r="M24" s="133"/>
      <c r="N24" s="13"/>
      <c r="O24" s="13"/>
      <c r="P24" s="13"/>
      <c r="Q24" s="13"/>
    </row>
    <row r="25" spans="1:20" ht="16" hidden="1" x14ac:dyDescent="0.2">
      <c r="A25" s="127"/>
      <c r="C25" s="130"/>
      <c r="D25" s="13"/>
      <c r="E25" s="13"/>
      <c r="G25" s="13"/>
      <c r="H25" s="13"/>
      <c r="I25" s="13"/>
      <c r="J25" s="13"/>
      <c r="K25" s="13"/>
      <c r="L25" s="13"/>
      <c r="M25" s="133"/>
      <c r="N25" s="13"/>
      <c r="O25" s="13"/>
      <c r="P25" s="13"/>
      <c r="Q25" s="13"/>
      <c r="S25" s="126"/>
    </row>
    <row r="26" spans="1:20" ht="16" x14ac:dyDescent="0.2">
      <c r="A26" s="127"/>
      <c r="C26" s="127"/>
      <c r="G26" s="129"/>
      <c r="O26" s="118"/>
      <c r="P26" s="118"/>
    </row>
    <row r="27" spans="1:20" ht="16" x14ac:dyDescent="0.2">
      <c r="A27" s="7"/>
      <c r="O27" s="118"/>
      <c r="P27" s="118"/>
    </row>
    <row r="28" spans="1:20" ht="17" thickBot="1" x14ac:dyDescent="0.25">
      <c r="A28" s="78" t="s">
        <v>575</v>
      </c>
      <c r="B28" s="80"/>
      <c r="C28" s="124" t="s">
        <v>553</v>
      </c>
      <c r="D28" s="124" t="s">
        <v>554</v>
      </c>
      <c r="E28" s="124" t="s">
        <v>49</v>
      </c>
      <c r="G28" s="12" t="s">
        <v>555</v>
      </c>
      <c r="H28" s="12" t="s">
        <v>556</v>
      </c>
      <c r="I28" s="12" t="s">
        <v>557</v>
      </c>
      <c r="J28" s="12" t="s">
        <v>558</v>
      </c>
      <c r="K28" s="12" t="s">
        <v>1</v>
      </c>
      <c r="L28" s="12" t="s">
        <v>50</v>
      </c>
      <c r="M28" s="12" t="s">
        <v>3</v>
      </c>
      <c r="N28" s="12" t="s">
        <v>559</v>
      </c>
      <c r="O28" s="12" t="s">
        <v>560</v>
      </c>
    </row>
    <row r="29" spans="1:20" ht="17" thickTop="1" x14ac:dyDescent="0.2">
      <c r="A29" s="127" t="s">
        <v>610</v>
      </c>
      <c r="C29" s="130">
        <v>5</v>
      </c>
      <c r="D29" s="13">
        <f t="shared" ref="D29:D35" si="2">COUNTIF(G29:Q29,"X")</f>
        <v>0</v>
      </c>
      <c r="E29" s="33">
        <f>IF(D29&gt;C29,1,IFERROR(D29/C29,""))</f>
        <v>0</v>
      </c>
      <c r="G29" s="13"/>
      <c r="H29" s="13"/>
      <c r="I29" s="132"/>
      <c r="J29" s="132"/>
      <c r="K29" s="132"/>
      <c r="L29" s="132"/>
      <c r="M29" s="136"/>
      <c r="N29" s="132"/>
      <c r="O29" s="132"/>
      <c r="S29" s="126"/>
    </row>
    <row r="30" spans="1:20" ht="16" x14ac:dyDescent="0.2">
      <c r="A30" s="127" t="s">
        <v>577</v>
      </c>
      <c r="C30" s="130">
        <v>4</v>
      </c>
      <c r="D30" s="13">
        <f t="shared" si="2"/>
        <v>2</v>
      </c>
      <c r="E30" s="33">
        <f>IF(D30&gt;C30,1,IFERROR(D30/C30,""))</f>
        <v>0.5</v>
      </c>
      <c r="G30" s="13"/>
      <c r="H30" s="13"/>
      <c r="I30" s="132" t="s">
        <v>53</v>
      </c>
      <c r="J30" s="132" t="s">
        <v>53</v>
      </c>
      <c r="K30" s="132"/>
      <c r="L30" s="132"/>
      <c r="M30" s="132"/>
      <c r="N30" s="132"/>
      <c r="O30" s="132"/>
      <c r="S30" s="126"/>
    </row>
    <row r="31" spans="1:20" ht="17" x14ac:dyDescent="0.2">
      <c r="A31" s="131" t="s">
        <v>589</v>
      </c>
      <c r="C31" s="130">
        <v>5</v>
      </c>
      <c r="D31" s="13">
        <f t="shared" si="2"/>
        <v>1</v>
      </c>
      <c r="E31" s="33">
        <f>IF(D31&gt;C31,1,IFERROR(D31/C31,""))</f>
        <v>0.2</v>
      </c>
      <c r="G31" s="13"/>
      <c r="H31" s="13"/>
      <c r="I31" s="132"/>
      <c r="J31" s="132"/>
      <c r="K31" s="132"/>
      <c r="L31" s="13"/>
      <c r="M31" s="13" t="s">
        <v>53</v>
      </c>
      <c r="N31" s="13"/>
      <c r="O31" s="13"/>
      <c r="S31" s="126"/>
    </row>
    <row r="32" spans="1:20" x14ac:dyDescent="0.2">
      <c r="C32" s="130">
        <v>3</v>
      </c>
      <c r="D32" s="13">
        <f t="shared" si="2"/>
        <v>0</v>
      </c>
      <c r="E32" s="33">
        <f>IF(D32&gt;C32,1,IFERROR(D32/C32,""))</f>
        <v>0</v>
      </c>
      <c r="G32" s="13"/>
      <c r="H32" s="13"/>
      <c r="I32" s="13"/>
      <c r="J32" s="13"/>
      <c r="K32" s="13"/>
      <c r="L32" s="13"/>
      <c r="M32" s="13"/>
      <c r="N32" s="13"/>
      <c r="O32" s="13"/>
      <c r="Q32" s="126"/>
    </row>
    <row r="33" spans="1:17" ht="16" x14ac:dyDescent="0.2">
      <c r="A33" s="127"/>
      <c r="C33" s="130">
        <v>6</v>
      </c>
      <c r="D33" s="13">
        <f t="shared" si="2"/>
        <v>0</v>
      </c>
      <c r="E33" s="33">
        <f t="shared" ref="E33:E35" si="3">IF(D33&gt;C33,1,IFERROR(D33/C33,""))</f>
        <v>0</v>
      </c>
      <c r="G33" s="13"/>
      <c r="H33" s="13"/>
      <c r="I33" s="13"/>
      <c r="J33" s="13"/>
      <c r="K33" s="13"/>
      <c r="L33" s="13"/>
      <c r="M33" s="13"/>
      <c r="N33" s="13"/>
      <c r="O33" s="13"/>
      <c r="Q33" s="126"/>
    </row>
    <row r="34" spans="1:17" ht="16" x14ac:dyDescent="0.2">
      <c r="A34" s="127"/>
      <c r="C34" s="130">
        <v>9</v>
      </c>
      <c r="D34" s="13">
        <f t="shared" si="2"/>
        <v>0</v>
      </c>
      <c r="E34" s="33">
        <f t="shared" si="3"/>
        <v>0</v>
      </c>
      <c r="G34" s="13"/>
      <c r="H34" s="13"/>
      <c r="I34" s="13"/>
      <c r="J34" s="13"/>
      <c r="K34" s="13"/>
      <c r="L34" s="13"/>
      <c r="M34" s="13"/>
      <c r="N34" s="13"/>
      <c r="O34" s="13"/>
    </row>
    <row r="35" spans="1:17" ht="16" x14ac:dyDescent="0.2">
      <c r="A35" s="127"/>
      <c r="C35" s="130">
        <v>1</v>
      </c>
      <c r="D35" s="13">
        <f t="shared" si="2"/>
        <v>0</v>
      </c>
      <c r="E35" s="33">
        <f t="shared" si="3"/>
        <v>0</v>
      </c>
      <c r="G35" s="13"/>
      <c r="H35" s="13"/>
      <c r="I35" s="13"/>
      <c r="J35" s="13"/>
      <c r="K35" s="13"/>
      <c r="L35" s="13"/>
      <c r="M35" s="13"/>
      <c r="N35" s="13"/>
      <c r="O35" s="13"/>
    </row>
    <row r="36" spans="1:17" x14ac:dyDescent="0.2"/>
  </sheetData>
  <conditionalFormatting sqref="E5:E10 E13:E18 E21:E23">
    <cfRule type="cellIs" dxfId="96" priority="19" operator="between">
      <formula>0</formula>
      <formula>0.64</formula>
    </cfRule>
    <cfRule type="cellIs" dxfId="95" priority="20" operator="between">
      <formula>0.64</formula>
      <formula>0.8</formula>
    </cfRule>
    <cfRule type="cellIs" dxfId="94" priority="21" operator="between">
      <formula>0.79</formula>
      <formula>0.9</formula>
    </cfRule>
    <cfRule type="cellIs" dxfId="93" priority="22" operator="between">
      <formula>0.89</formula>
      <formula>1</formula>
    </cfRule>
  </conditionalFormatting>
  <conditionalFormatting sqref="E29:E35">
    <cfRule type="cellIs" dxfId="92" priority="13" operator="between">
      <formula>0</formula>
      <formula>0.64</formula>
    </cfRule>
    <cfRule type="cellIs" dxfId="91" priority="14" operator="between">
      <formula>0.64</formula>
      <formula>0.8</formula>
    </cfRule>
    <cfRule type="cellIs" dxfId="90" priority="15" operator="between">
      <formula>0.79</formula>
      <formula>0.9</formula>
    </cfRule>
    <cfRule type="cellIs" dxfId="89" priority="16" operator="between">
      <formula>0.89</formula>
      <formula>1</formula>
    </cfRule>
  </conditionalFormatting>
  <conditionalFormatting sqref="G4:G6">
    <cfRule type="cellIs" dxfId="88" priority="18" operator="equal">
      <formula>1</formula>
    </cfRule>
  </conditionalFormatting>
  <conditionalFormatting sqref="G13:N18 G29:O35 G36:P36">
    <cfRule type="cellIs" dxfId="87" priority="4" operator="equal">
      <formula>"x"</formula>
    </cfRule>
  </conditionalFormatting>
  <conditionalFormatting sqref="G19:P19 G26:P27">
    <cfRule type="cellIs" dxfId="86" priority="17" operator="equal">
      <formula>"x"</formula>
    </cfRule>
  </conditionalFormatting>
  <conditionalFormatting sqref="G20:Q25">
    <cfRule type="cellIs" dxfId="85" priority="12" operator="equal">
      <formula>"x"</formula>
    </cfRule>
  </conditionalFormatting>
  <conditionalFormatting sqref="H4:K4 G5:O10 G11:P11 G12:L12 G28:K28">
    <cfRule type="cellIs" dxfId="84" priority="3" operator="equal">
      <formula>1</formula>
    </cfRule>
  </conditionalFormatting>
  <conditionalFormatting sqref="O18">
    <cfRule type="cellIs" dxfId="83" priority="8" operator="equal">
      <formula>1</formula>
    </cfRule>
  </conditionalFormatting>
  <conditionalFormatting sqref="O16:Q17">
    <cfRule type="cellIs" dxfId="82" priority="5" operator="equal">
      <formula>"x"</formula>
    </cfRule>
  </conditionalFormatting>
  <conditionalFormatting sqref="P18:Q18">
    <cfRule type="cellIs" dxfId="81" priority="7" operator="equal">
      <formula>"x"</formula>
    </cfRule>
  </conditionalFormatting>
  <conditionalFormatting sqref="Q12:R12 O13:R15">
    <cfRule type="cellIs" dxfId="80" priority="6" operator="equal">
      <formula>"x"</formula>
    </cfRule>
  </conditionalFormatting>
  <conditionalFormatting sqref="R16:R18">
    <cfRule type="cellIs" dxfId="79" priority="10" operator="equal">
      <formula>1</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94D8-78C2-425A-B488-DF6C985977E9}">
  <sheetPr>
    <tabColor theme="0"/>
  </sheetPr>
  <dimension ref="A2:AA34"/>
  <sheetViews>
    <sheetView showGridLines="0" topLeftCell="A9" zoomScale="76" zoomScaleNormal="76" workbookViewId="0">
      <selection activeCell="K17" sqref="K17"/>
    </sheetView>
  </sheetViews>
  <sheetFormatPr baseColWidth="10" defaultColWidth="9.1640625" defaultRowHeight="15" customHeight="1" x14ac:dyDescent="0.2"/>
  <cols>
    <col min="1" max="1" width="42.5" customWidth="1"/>
    <col min="2" max="2" width="4.5" customWidth="1"/>
    <col min="3" max="3" width="13.5" customWidth="1"/>
    <col min="4" max="4" width="11.5" customWidth="1"/>
    <col min="5" max="5" width="12.1640625" customWidth="1"/>
    <col min="6" max="6" width="3.5" customWidth="1"/>
    <col min="7" max="18" width="10.5" customWidth="1"/>
  </cols>
  <sheetData>
    <row r="2" spans="1:27" ht="19" x14ac:dyDescent="0.25">
      <c r="A2" s="122" t="s">
        <v>611</v>
      </c>
    </row>
    <row r="3" spans="1:27" x14ac:dyDescent="0.2"/>
    <row r="4" spans="1:27" ht="16" x14ac:dyDescent="0.2">
      <c r="A4" s="10" t="s">
        <v>552</v>
      </c>
      <c r="B4" s="3"/>
      <c r="C4" s="124" t="s">
        <v>553</v>
      </c>
      <c r="D4" s="124" t="s">
        <v>554</v>
      </c>
      <c r="E4" s="124" t="s">
        <v>49</v>
      </c>
      <c r="G4" s="12" t="s">
        <v>555</v>
      </c>
      <c r="H4" s="12" t="s">
        <v>556</v>
      </c>
      <c r="I4" s="12" t="s">
        <v>557</v>
      </c>
      <c r="J4" s="12" t="s">
        <v>558</v>
      </c>
      <c r="K4" s="12"/>
      <c r="L4" s="12" t="s">
        <v>1</v>
      </c>
      <c r="M4" s="12" t="s">
        <v>50</v>
      </c>
      <c r="N4" s="12" t="s">
        <v>3</v>
      </c>
      <c r="O4" s="12" t="s">
        <v>559</v>
      </c>
      <c r="P4" s="12" t="s">
        <v>560</v>
      </c>
      <c r="S4" s="124" t="s">
        <v>561</v>
      </c>
      <c r="T4" s="124"/>
      <c r="U4" s="124"/>
      <c r="V4" s="124"/>
      <c r="W4" s="124"/>
      <c r="X4" s="124"/>
      <c r="Y4" s="124"/>
      <c r="Z4" s="124"/>
      <c r="AA4" s="124"/>
    </row>
    <row r="5" spans="1:27" ht="16" x14ac:dyDescent="0.2">
      <c r="A5" s="127" t="s">
        <v>562</v>
      </c>
      <c r="B5" s="7"/>
      <c r="C5" s="128">
        <v>9</v>
      </c>
      <c r="D5" s="32">
        <f>SUM(G5:Q5)</f>
        <v>19</v>
      </c>
      <c r="E5" s="33">
        <f>IF(D5&gt;C5,1,IFERROR(D5/C5,""))</f>
        <v>1</v>
      </c>
      <c r="F5" s="7"/>
      <c r="G5" s="13">
        <v>4</v>
      </c>
      <c r="H5" s="13">
        <v>3</v>
      </c>
      <c r="I5" s="13">
        <v>5</v>
      </c>
      <c r="J5" s="13">
        <v>1</v>
      </c>
      <c r="K5" s="13"/>
      <c r="L5" s="13"/>
      <c r="M5" s="132"/>
      <c r="N5" s="13">
        <v>2</v>
      </c>
      <c r="O5" s="13">
        <v>3</v>
      </c>
      <c r="P5" s="13">
        <v>1</v>
      </c>
    </row>
    <row r="6" spans="1:27" ht="16" x14ac:dyDescent="0.2">
      <c r="A6" s="127" t="s">
        <v>563</v>
      </c>
      <c r="B6" s="7"/>
      <c r="C6" s="128">
        <v>9</v>
      </c>
      <c r="D6" s="32">
        <f>SUM(G6:Q6)</f>
        <v>27</v>
      </c>
      <c r="E6" s="33">
        <f>IF(D6&gt;C6,1,IFERROR(D6/C6,""))</f>
        <v>1</v>
      </c>
      <c r="F6" s="7"/>
      <c r="G6" s="13">
        <v>6</v>
      </c>
      <c r="H6" s="13"/>
      <c r="I6" s="13">
        <v>3</v>
      </c>
      <c r="J6" s="13">
        <v>2</v>
      </c>
      <c r="K6" s="13"/>
      <c r="L6" s="13"/>
      <c r="M6" s="132"/>
      <c r="N6" s="13">
        <v>9</v>
      </c>
      <c r="O6" s="136">
        <v>4</v>
      </c>
      <c r="P6" s="136">
        <v>3</v>
      </c>
    </row>
    <row r="7" spans="1:27" ht="16" x14ac:dyDescent="0.2">
      <c r="A7" s="127" t="s">
        <v>612</v>
      </c>
      <c r="C7" s="128">
        <v>8</v>
      </c>
      <c r="D7" s="32">
        <f>SUM(G7:Q7)</f>
        <v>4</v>
      </c>
      <c r="E7" s="33">
        <f>IF(D7&gt;C7,1,IFERROR(D7/C7,""))</f>
        <v>0.5</v>
      </c>
      <c r="G7" s="136">
        <v>1</v>
      </c>
      <c r="H7" s="136">
        <v>1</v>
      </c>
      <c r="I7" s="136">
        <v>1</v>
      </c>
      <c r="J7" s="136">
        <v>1</v>
      </c>
      <c r="K7" s="136"/>
      <c r="L7" s="13"/>
      <c r="M7" s="132"/>
      <c r="N7" s="136"/>
      <c r="O7" s="13"/>
      <c r="P7" s="13"/>
      <c r="S7" s="125"/>
    </row>
    <row r="8" spans="1:27" ht="16" x14ac:dyDescent="0.2">
      <c r="A8" s="127"/>
      <c r="B8" s="7"/>
      <c r="C8" s="128"/>
      <c r="D8" s="32">
        <f>SUM(G8:Q8)</f>
        <v>0</v>
      </c>
      <c r="E8" s="33" t="str">
        <f>IF(D8&gt;C8,1,IFERROR(D8/C8,""))</f>
        <v/>
      </c>
      <c r="F8" s="7"/>
      <c r="G8" s="13"/>
      <c r="H8" s="13"/>
      <c r="I8" s="13"/>
      <c r="J8" s="13"/>
      <c r="K8" s="13"/>
      <c r="L8" s="13"/>
      <c r="M8" s="132"/>
      <c r="N8" s="13"/>
      <c r="O8" s="13"/>
      <c r="P8" s="13"/>
    </row>
    <row r="9" spans="1:27" ht="16" x14ac:dyDescent="0.2">
      <c r="C9" s="123"/>
      <c r="Q9" s="76"/>
      <c r="T9" s="76"/>
    </row>
    <row r="10" spans="1:27" ht="16" x14ac:dyDescent="0.2">
      <c r="A10" s="10" t="s">
        <v>564</v>
      </c>
      <c r="B10" s="3"/>
      <c r="C10" s="124" t="s">
        <v>553</v>
      </c>
      <c r="D10" s="124" t="s">
        <v>554</v>
      </c>
      <c r="E10" s="124" t="s">
        <v>49</v>
      </c>
      <c r="G10" s="12" t="s">
        <v>555</v>
      </c>
      <c r="H10" s="12" t="s">
        <v>556</v>
      </c>
      <c r="I10" s="12" t="s">
        <v>557</v>
      </c>
      <c r="J10" s="12" t="s">
        <v>558</v>
      </c>
      <c r="K10" s="12" t="s">
        <v>608</v>
      </c>
      <c r="L10" s="12" t="s">
        <v>613</v>
      </c>
      <c r="M10" s="12" t="s">
        <v>614</v>
      </c>
      <c r="N10" s="12" t="s">
        <v>3</v>
      </c>
      <c r="O10" s="12" t="s">
        <v>559</v>
      </c>
      <c r="P10" s="12" t="s">
        <v>560</v>
      </c>
      <c r="Q10" s="12"/>
      <c r="R10" s="12"/>
      <c r="S10" s="76"/>
      <c r="T10" s="76"/>
    </row>
    <row r="11" spans="1:27" ht="16" x14ac:dyDescent="0.2">
      <c r="A11" s="76" t="s">
        <v>615</v>
      </c>
      <c r="C11" s="130">
        <v>6</v>
      </c>
      <c r="D11" s="13">
        <f t="shared" ref="D11:D16" si="0">COUNTIF(G11:Q11,"X")</f>
        <v>2</v>
      </c>
      <c r="E11" s="33">
        <f t="shared" ref="E11:E15" si="1">IF(D11&gt;C11,1,IFERROR(D11/C11,""))</f>
        <v>0.33333333333333331</v>
      </c>
      <c r="G11" s="13"/>
      <c r="H11" s="13"/>
      <c r="I11" s="13" t="s">
        <v>53</v>
      </c>
      <c r="J11" s="13" t="s">
        <v>53</v>
      </c>
      <c r="K11" s="13"/>
      <c r="L11" s="13"/>
      <c r="M11" s="132"/>
      <c r="N11" s="132"/>
      <c r="O11" s="132"/>
      <c r="P11" s="132"/>
      <c r="Q11" s="136"/>
      <c r="R11" s="132"/>
      <c r="T11" s="76"/>
    </row>
    <row r="12" spans="1:27" ht="16" x14ac:dyDescent="0.2">
      <c r="A12" s="76" t="s">
        <v>566</v>
      </c>
      <c r="C12" s="130">
        <v>5</v>
      </c>
      <c r="D12" s="13">
        <f t="shared" si="0"/>
        <v>5</v>
      </c>
      <c r="E12" s="33">
        <f t="shared" si="1"/>
        <v>1</v>
      </c>
      <c r="G12" s="13" t="s">
        <v>53</v>
      </c>
      <c r="H12" s="13" t="s">
        <v>53</v>
      </c>
      <c r="I12" s="13" t="s">
        <v>53</v>
      </c>
      <c r="J12" s="13" t="s">
        <v>53</v>
      </c>
      <c r="K12" s="13" t="s">
        <v>53</v>
      </c>
      <c r="L12" s="13"/>
      <c r="M12" s="132"/>
      <c r="N12" s="13"/>
      <c r="O12" s="132"/>
      <c r="P12" s="132"/>
      <c r="Q12" s="132"/>
      <c r="R12" s="132"/>
      <c r="T12" s="76"/>
    </row>
    <row r="13" spans="1:27" ht="16" x14ac:dyDescent="0.2">
      <c r="A13" s="76" t="s">
        <v>567</v>
      </c>
      <c r="C13" s="130">
        <v>5</v>
      </c>
      <c r="D13" s="13">
        <f t="shared" si="0"/>
        <v>7</v>
      </c>
      <c r="E13" s="33">
        <f t="shared" si="1"/>
        <v>1</v>
      </c>
      <c r="G13" s="13" t="s">
        <v>53</v>
      </c>
      <c r="H13" s="13" t="s">
        <v>53</v>
      </c>
      <c r="I13" s="13" t="s">
        <v>53</v>
      </c>
      <c r="J13" s="13" t="s">
        <v>53</v>
      </c>
      <c r="K13" s="13" t="s">
        <v>53</v>
      </c>
      <c r="L13" s="13" t="s">
        <v>53</v>
      </c>
      <c r="M13" s="132" t="s">
        <v>53</v>
      </c>
      <c r="N13" s="13"/>
      <c r="O13" s="132"/>
      <c r="P13" s="132"/>
      <c r="Q13" s="132"/>
      <c r="R13" s="132"/>
      <c r="T13" s="76"/>
    </row>
    <row r="14" spans="1:27" ht="16" x14ac:dyDescent="0.2">
      <c r="A14" s="76" t="s">
        <v>568</v>
      </c>
      <c r="C14" s="130">
        <v>5</v>
      </c>
      <c r="D14" s="13">
        <f t="shared" si="0"/>
        <v>7</v>
      </c>
      <c r="E14" s="33">
        <f t="shared" si="1"/>
        <v>1</v>
      </c>
      <c r="G14" s="13" t="s">
        <v>53</v>
      </c>
      <c r="H14" s="13" t="s">
        <v>53</v>
      </c>
      <c r="I14" s="13" t="s">
        <v>53</v>
      </c>
      <c r="J14" s="13" t="s">
        <v>53</v>
      </c>
      <c r="K14" s="13" t="s">
        <v>53</v>
      </c>
      <c r="L14" s="13" t="s">
        <v>53</v>
      </c>
      <c r="M14" s="132" t="s">
        <v>53</v>
      </c>
      <c r="N14" s="13"/>
      <c r="O14" s="132"/>
      <c r="P14" s="13"/>
      <c r="Q14" s="13"/>
      <c r="R14" s="132"/>
      <c r="S14" s="125"/>
      <c r="T14" s="76"/>
    </row>
    <row r="15" spans="1:27" ht="16" x14ac:dyDescent="0.2">
      <c r="A15" s="76" t="s">
        <v>569</v>
      </c>
      <c r="C15" s="130">
        <v>5</v>
      </c>
      <c r="D15" s="13">
        <f t="shared" si="0"/>
        <v>2</v>
      </c>
      <c r="E15" s="33">
        <f t="shared" si="1"/>
        <v>0.4</v>
      </c>
      <c r="G15" s="13" t="s">
        <v>53</v>
      </c>
      <c r="H15" s="13" t="s">
        <v>53</v>
      </c>
      <c r="I15" s="13"/>
      <c r="J15" s="13"/>
      <c r="K15" s="13"/>
      <c r="L15" s="132"/>
      <c r="M15" s="132"/>
      <c r="N15" s="13"/>
      <c r="O15" s="13"/>
      <c r="P15" s="132"/>
      <c r="Q15" s="132"/>
      <c r="R15" s="132"/>
      <c r="S15" s="126"/>
      <c r="T15" s="76"/>
    </row>
    <row r="16" spans="1:27" ht="16" x14ac:dyDescent="0.2">
      <c r="A16" s="76" t="s">
        <v>570</v>
      </c>
      <c r="C16" s="130">
        <v>5</v>
      </c>
      <c r="D16" s="13">
        <f t="shared" si="0"/>
        <v>2</v>
      </c>
      <c r="E16" s="33">
        <f>IF(D16&gt;C16,1,IFERROR(D16/C16,""))</f>
        <v>0.4</v>
      </c>
      <c r="G16" s="13"/>
      <c r="H16" s="13"/>
      <c r="I16" s="13"/>
      <c r="J16" s="13"/>
      <c r="K16" s="13" t="s">
        <v>53</v>
      </c>
      <c r="L16" s="132"/>
      <c r="M16" s="132" t="s">
        <v>53</v>
      </c>
      <c r="N16" s="13"/>
      <c r="O16" s="132"/>
      <c r="P16" s="13"/>
      <c r="Q16" s="13"/>
      <c r="R16" s="132"/>
      <c r="T16" s="7"/>
    </row>
    <row r="17" spans="1:19" x14ac:dyDescent="0.2"/>
    <row r="18" spans="1:19" ht="16" hidden="1" x14ac:dyDescent="0.2">
      <c r="A18" s="78" t="s">
        <v>571</v>
      </c>
      <c r="B18" s="80"/>
      <c r="C18" s="124" t="s">
        <v>553</v>
      </c>
      <c r="D18" s="124" t="s">
        <v>554</v>
      </c>
      <c r="E18" s="124" t="s">
        <v>49</v>
      </c>
      <c r="G18" s="12"/>
      <c r="H18" s="12"/>
      <c r="I18" s="12"/>
      <c r="J18" s="12"/>
      <c r="K18" s="12"/>
      <c r="L18" s="12"/>
      <c r="M18" s="12"/>
      <c r="N18" s="12"/>
      <c r="O18" s="12"/>
      <c r="P18" s="12"/>
      <c r="Q18" s="12" t="s">
        <v>559</v>
      </c>
    </row>
    <row r="19" spans="1:19" ht="16" hidden="1" x14ac:dyDescent="0.2">
      <c r="A19" s="76" t="s">
        <v>572</v>
      </c>
      <c r="C19" s="130">
        <v>3</v>
      </c>
      <c r="D19" s="13">
        <f t="shared" ref="D19:D21" si="2">COUNTIF(G19:Q19,"X")</f>
        <v>0</v>
      </c>
      <c r="E19" s="33">
        <f>IF(D19&gt;C19,1,IFERROR(D19/C19,""))</f>
        <v>0</v>
      </c>
      <c r="G19" s="13"/>
      <c r="H19" s="13"/>
      <c r="I19" s="13"/>
      <c r="J19" s="137"/>
      <c r="K19" s="137"/>
      <c r="L19" s="13"/>
      <c r="M19" s="137"/>
      <c r="N19" s="13"/>
      <c r="O19" s="13"/>
      <c r="P19" s="13"/>
      <c r="Q19" s="13"/>
      <c r="S19" s="126"/>
    </row>
    <row r="20" spans="1:19" ht="16" hidden="1" x14ac:dyDescent="0.2">
      <c r="A20" s="76" t="s">
        <v>573</v>
      </c>
      <c r="C20" s="130">
        <v>10</v>
      </c>
      <c r="D20" s="13">
        <f t="shared" si="2"/>
        <v>0</v>
      </c>
      <c r="E20" s="33">
        <f>IF(D20&gt;C20,1,IFERROR(D20/C20,""))</f>
        <v>0</v>
      </c>
      <c r="G20" s="137"/>
      <c r="H20" s="137"/>
      <c r="I20" s="137"/>
      <c r="J20" s="137"/>
      <c r="K20" s="137"/>
      <c r="L20" s="137"/>
      <c r="M20" s="137"/>
      <c r="N20" s="137"/>
      <c r="O20" s="137"/>
      <c r="P20" s="137"/>
      <c r="Q20" s="137">
        <v>45335</v>
      </c>
    </row>
    <row r="21" spans="1:19" ht="16" hidden="1" x14ac:dyDescent="0.2">
      <c r="A21" s="76" t="s">
        <v>574</v>
      </c>
      <c r="C21" s="130">
        <v>10</v>
      </c>
      <c r="D21" s="13">
        <f t="shared" si="2"/>
        <v>0</v>
      </c>
      <c r="E21" s="33">
        <f>IF(D21&gt;C21,1,IFERROR(D21/C21,""))</f>
        <v>0</v>
      </c>
      <c r="G21" s="137"/>
      <c r="H21" s="137"/>
      <c r="I21" s="137"/>
      <c r="J21" s="137"/>
      <c r="K21" s="137"/>
      <c r="L21" s="137"/>
      <c r="M21" s="137"/>
      <c r="N21" s="137"/>
      <c r="O21" s="137"/>
      <c r="P21" s="137"/>
      <c r="Q21" s="137">
        <v>45329</v>
      </c>
    </row>
    <row r="22" spans="1:19" ht="16" hidden="1" x14ac:dyDescent="0.2">
      <c r="A22" s="76"/>
      <c r="C22" s="130"/>
      <c r="D22" s="13"/>
      <c r="E22" s="13"/>
      <c r="G22" s="13"/>
      <c r="H22" s="13"/>
      <c r="I22" s="13"/>
      <c r="J22" s="13"/>
      <c r="K22" s="13"/>
      <c r="L22" s="13"/>
      <c r="M22" s="133"/>
      <c r="N22" s="13"/>
      <c r="O22" s="13"/>
      <c r="P22" s="13"/>
      <c r="Q22" s="13"/>
    </row>
    <row r="23" spans="1:19" ht="16" hidden="1" x14ac:dyDescent="0.2">
      <c r="A23" s="127"/>
      <c r="C23" s="130"/>
      <c r="D23" s="13"/>
      <c r="E23" s="13"/>
      <c r="G23" s="13"/>
      <c r="H23" s="13"/>
      <c r="I23" s="13"/>
      <c r="J23" s="13"/>
      <c r="K23" s="13"/>
      <c r="L23" s="13"/>
      <c r="M23" s="133"/>
      <c r="N23" s="13"/>
      <c r="O23" s="13"/>
      <c r="P23" s="13"/>
      <c r="Q23" s="13"/>
      <c r="S23" s="126"/>
    </row>
    <row r="24" spans="1:19" ht="16" x14ac:dyDescent="0.2">
      <c r="A24" s="127"/>
      <c r="C24" s="127"/>
      <c r="G24" s="129"/>
      <c r="O24" s="118"/>
      <c r="P24" s="118"/>
    </row>
    <row r="25" spans="1:19" ht="16" x14ac:dyDescent="0.2">
      <c r="A25" s="7"/>
      <c r="O25" s="118"/>
      <c r="P25" s="118"/>
    </row>
    <row r="26" spans="1:19" ht="16" x14ac:dyDescent="0.2">
      <c r="A26" s="78" t="s">
        <v>575</v>
      </c>
      <c r="B26" s="80"/>
      <c r="C26" s="124" t="s">
        <v>553</v>
      </c>
      <c r="D26" s="124" t="s">
        <v>554</v>
      </c>
      <c r="E26" s="124" t="s">
        <v>49</v>
      </c>
      <c r="G26" s="12" t="s">
        <v>555</v>
      </c>
      <c r="H26" s="12" t="s">
        <v>556</v>
      </c>
      <c r="I26" s="12" t="s">
        <v>557</v>
      </c>
      <c r="J26" s="12" t="s">
        <v>558</v>
      </c>
      <c r="K26" s="12" t="s">
        <v>1</v>
      </c>
      <c r="L26" s="12" t="s">
        <v>50</v>
      </c>
      <c r="M26" s="12" t="s">
        <v>3</v>
      </c>
      <c r="N26" s="12" t="s">
        <v>559</v>
      </c>
      <c r="O26" s="12" t="s">
        <v>560</v>
      </c>
      <c r="P26" s="12"/>
    </row>
    <row r="27" spans="1:19" ht="16" x14ac:dyDescent="0.2">
      <c r="A27" s="127" t="s">
        <v>616</v>
      </c>
      <c r="C27" s="130">
        <v>5</v>
      </c>
      <c r="D27" s="13">
        <f t="shared" ref="D27:D33" si="3">COUNTIF(G27:Q27,"X")</f>
        <v>0</v>
      </c>
      <c r="E27" s="33">
        <f>IF(D27&gt;C27,1,IFERROR(D27/C27,""))</f>
        <v>0</v>
      </c>
      <c r="G27" s="13"/>
      <c r="H27" s="13"/>
      <c r="I27" s="132"/>
      <c r="J27" s="132"/>
      <c r="K27" s="132"/>
      <c r="L27" s="132"/>
      <c r="M27" s="136"/>
      <c r="N27" s="132"/>
      <c r="O27" s="132"/>
      <c r="P27" s="132"/>
      <c r="S27" s="126"/>
    </row>
    <row r="28" spans="1:19" ht="16" x14ac:dyDescent="0.2">
      <c r="A28" s="127" t="s">
        <v>577</v>
      </c>
      <c r="C28" s="130">
        <v>4</v>
      </c>
      <c r="D28" s="13">
        <f t="shared" si="3"/>
        <v>2</v>
      </c>
      <c r="E28" s="33">
        <f>IF(D28&gt;C28,1,IFERROR(D28/C28,""))</f>
        <v>0.5</v>
      </c>
      <c r="G28" s="13"/>
      <c r="H28" s="13"/>
      <c r="I28" s="132" t="s">
        <v>53</v>
      </c>
      <c r="J28" s="132" t="s">
        <v>53</v>
      </c>
      <c r="K28" s="132"/>
      <c r="L28" s="132"/>
      <c r="M28" s="132"/>
      <c r="N28" s="132"/>
      <c r="O28" s="132"/>
      <c r="P28" s="132"/>
      <c r="S28" s="126"/>
    </row>
    <row r="29" spans="1:19" ht="17" x14ac:dyDescent="0.2">
      <c r="A29" s="131" t="s">
        <v>589</v>
      </c>
      <c r="C29" s="130">
        <v>5</v>
      </c>
      <c r="D29" s="13">
        <f>COUNTIF(G29:Q29,"X")</f>
        <v>1</v>
      </c>
      <c r="E29" s="33">
        <f>IF(D29&gt;C29,1,IFERROR(D29/C29,""))</f>
        <v>0.2</v>
      </c>
      <c r="G29" s="13"/>
      <c r="H29" s="13"/>
      <c r="I29" s="132"/>
      <c r="J29" s="132"/>
      <c r="K29" s="132"/>
      <c r="L29" s="13"/>
      <c r="M29" s="13" t="s">
        <v>53</v>
      </c>
      <c r="N29" s="13"/>
      <c r="O29" s="13"/>
      <c r="P29" s="13"/>
      <c r="S29" s="126"/>
    </row>
    <row r="30" spans="1:19" x14ac:dyDescent="0.2">
      <c r="C30" s="130"/>
      <c r="D30" s="13">
        <f t="shared" si="3"/>
        <v>0</v>
      </c>
      <c r="E30" s="33" t="str">
        <f>IF(D30&gt;C30,1,IFERROR(D30/C30,""))</f>
        <v/>
      </c>
      <c r="G30" s="13"/>
      <c r="H30" s="13"/>
      <c r="I30" s="13"/>
      <c r="J30" s="13"/>
      <c r="K30" s="13"/>
      <c r="L30" s="13"/>
      <c r="M30" s="13"/>
      <c r="N30" s="13"/>
      <c r="O30" s="13"/>
      <c r="P30" s="13"/>
      <c r="Q30" s="126"/>
    </row>
    <row r="31" spans="1:19" ht="16" x14ac:dyDescent="0.2">
      <c r="A31" s="127"/>
      <c r="C31" s="130"/>
      <c r="D31" s="13">
        <f t="shared" si="3"/>
        <v>0</v>
      </c>
      <c r="E31" s="33" t="str">
        <f t="shared" ref="E31:E33" si="4">IF(D31&gt;C31,1,IFERROR(D31/C31,""))</f>
        <v/>
      </c>
      <c r="G31" s="13"/>
      <c r="H31" s="13"/>
      <c r="I31" s="13"/>
      <c r="J31" s="13"/>
      <c r="K31" s="13"/>
      <c r="L31" s="13"/>
      <c r="M31" s="13"/>
      <c r="N31" s="13"/>
      <c r="O31" s="13"/>
      <c r="P31" s="13"/>
      <c r="Q31" s="126"/>
    </row>
    <row r="32" spans="1:19" ht="16" x14ac:dyDescent="0.2">
      <c r="A32" s="127"/>
      <c r="C32" s="130"/>
      <c r="D32" s="13">
        <f t="shared" si="3"/>
        <v>0</v>
      </c>
      <c r="E32" s="33" t="str">
        <f t="shared" si="4"/>
        <v/>
      </c>
      <c r="G32" s="13"/>
      <c r="H32" s="13"/>
      <c r="I32" s="13"/>
      <c r="J32" s="13"/>
      <c r="K32" s="13"/>
      <c r="L32" s="13"/>
      <c r="M32" s="13"/>
      <c r="N32" s="13"/>
      <c r="O32" s="13"/>
      <c r="P32" s="13"/>
    </row>
    <row r="33" spans="1:16" ht="16" x14ac:dyDescent="0.2">
      <c r="A33" s="127"/>
      <c r="C33" s="130"/>
      <c r="D33" s="13">
        <f t="shared" si="3"/>
        <v>0</v>
      </c>
      <c r="E33" s="33" t="str">
        <f t="shared" si="4"/>
        <v/>
      </c>
      <c r="G33" s="13"/>
      <c r="H33" s="13"/>
      <c r="I33" s="13"/>
      <c r="J33" s="13"/>
      <c r="K33" s="13"/>
      <c r="L33" s="13"/>
      <c r="M33" s="13"/>
      <c r="N33" s="13"/>
      <c r="O33" s="13"/>
      <c r="P33" s="13"/>
    </row>
    <row r="34" spans="1:16" x14ac:dyDescent="0.2"/>
  </sheetData>
  <conditionalFormatting sqref="E5:E8 E11:E16 E19:E21">
    <cfRule type="cellIs" dxfId="78" priority="22" operator="between">
      <formula>0</formula>
      <formula>0.64</formula>
    </cfRule>
    <cfRule type="cellIs" dxfId="77" priority="23" operator="between">
      <formula>0.64</formula>
      <formula>0.8</formula>
    </cfRule>
    <cfRule type="cellIs" dxfId="76" priority="24" operator="between">
      <formula>0.79</formula>
      <formula>0.9</formula>
    </cfRule>
    <cfRule type="cellIs" dxfId="75" priority="25" operator="between">
      <formula>0.89</formula>
      <formula>1</formula>
    </cfRule>
  </conditionalFormatting>
  <conditionalFormatting sqref="E27:E33">
    <cfRule type="cellIs" dxfId="74" priority="16" operator="between">
      <formula>0</formula>
      <formula>0.64</formula>
    </cfRule>
    <cfRule type="cellIs" dxfId="73" priority="17" operator="between">
      <formula>0.64</formula>
      <formula>0.8</formula>
    </cfRule>
    <cfRule type="cellIs" dxfId="72" priority="18" operator="between">
      <formula>0.79</formula>
      <formula>0.9</formula>
    </cfRule>
    <cfRule type="cellIs" dxfId="71" priority="19" operator="between">
      <formula>0.89</formula>
      <formula>1</formula>
    </cfRule>
  </conditionalFormatting>
  <conditionalFormatting sqref="G10:J16 M14:M16">
    <cfRule type="cellIs" dxfId="70" priority="7" operator="equal">
      <formula>"x"</formula>
    </cfRule>
  </conditionalFormatting>
  <conditionalFormatting sqref="G26:K26">
    <cfRule type="cellIs" dxfId="69" priority="1" operator="equal">
      <formula>1</formula>
    </cfRule>
  </conditionalFormatting>
  <conditionalFormatting sqref="G27:O33">
    <cfRule type="cellIs" dxfId="68" priority="2" operator="equal">
      <formula>"x"</formula>
    </cfRule>
  </conditionalFormatting>
  <conditionalFormatting sqref="G5:P9">
    <cfRule type="cellIs" dxfId="67" priority="14" operator="equal">
      <formula>1</formula>
    </cfRule>
  </conditionalFormatting>
  <conditionalFormatting sqref="G17:P17 G24:P25 G34:P34">
    <cfRule type="cellIs" dxfId="66" priority="20" operator="equal">
      <formula>"x"</formula>
    </cfRule>
  </conditionalFormatting>
  <conditionalFormatting sqref="G18:Q23">
    <cfRule type="cellIs" dxfId="65" priority="15" operator="equal">
      <formula>"x"</formula>
    </cfRule>
  </conditionalFormatting>
  <conditionalFormatting sqref="H4:L4 G4:G6">
    <cfRule type="cellIs" dxfId="64" priority="21" operator="equal">
      <formula>1</formula>
    </cfRule>
  </conditionalFormatting>
  <conditionalFormatting sqref="K10:L10">
    <cfRule type="cellIs" dxfId="63" priority="5" operator="equal">
      <formula>1</formula>
    </cfRule>
  </conditionalFormatting>
  <conditionalFormatting sqref="K11:L16">
    <cfRule type="cellIs" dxfId="62" priority="6" operator="equal">
      <formula>"x"</formula>
    </cfRule>
  </conditionalFormatting>
  <conditionalFormatting sqref="M10:R13 N12:N16">
    <cfRule type="cellIs" dxfId="61" priority="9" operator="equal">
      <formula>"x"</formula>
    </cfRule>
  </conditionalFormatting>
  <conditionalFormatting sqref="N14:N15">
    <cfRule type="cellIs" dxfId="60" priority="12" operator="equal">
      <formula>1</formula>
    </cfRule>
  </conditionalFormatting>
  <conditionalFormatting sqref="N16:O16">
    <cfRule type="cellIs" dxfId="59" priority="11" operator="equal">
      <formula>1</formula>
    </cfRule>
  </conditionalFormatting>
  <conditionalFormatting sqref="O14:Q15">
    <cfRule type="cellIs" dxfId="58" priority="8" operator="equal">
      <formula>"x"</formula>
    </cfRule>
  </conditionalFormatting>
  <conditionalFormatting sqref="P26:P33">
    <cfRule type="cellIs" dxfId="57" priority="4" operator="equal">
      <formula>"x"</formula>
    </cfRule>
  </conditionalFormatting>
  <conditionalFormatting sqref="P16:Q16">
    <cfRule type="cellIs" dxfId="56" priority="10" operator="equal">
      <formula>"x"</formula>
    </cfRule>
  </conditionalFormatting>
  <conditionalFormatting sqref="R14:R16">
    <cfRule type="cellIs" dxfId="55" priority="13" operator="equal">
      <formula>1</formula>
    </cfRule>
  </conditionalFormatting>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B9F27-AAF6-489D-A7F0-9707B80B62FC}">
  <sheetPr>
    <tabColor theme="0"/>
  </sheetPr>
  <dimension ref="A2:Z34"/>
  <sheetViews>
    <sheetView showGridLines="0" zoomScale="70" zoomScaleNormal="70" workbookViewId="0">
      <selection activeCell="K11" sqref="K11:K16"/>
    </sheetView>
  </sheetViews>
  <sheetFormatPr baseColWidth="10" defaultColWidth="9.1640625" defaultRowHeight="15" customHeight="1" x14ac:dyDescent="0.2"/>
  <cols>
    <col min="1" max="1" width="42.5" customWidth="1"/>
    <col min="2" max="2" width="4.5" customWidth="1"/>
    <col min="3" max="3" width="13.5" customWidth="1"/>
    <col min="4" max="4" width="11.5" customWidth="1"/>
    <col min="5" max="5" width="12.1640625" customWidth="1"/>
    <col min="6" max="6" width="3.5" customWidth="1"/>
    <col min="7" max="17" width="10.5" customWidth="1"/>
  </cols>
  <sheetData>
    <row r="2" spans="1:26" ht="19" x14ac:dyDescent="0.25">
      <c r="A2" s="122" t="s">
        <v>617</v>
      </c>
    </row>
    <row r="3" spans="1:26" x14ac:dyDescent="0.2"/>
    <row r="4" spans="1:26" ht="16" x14ac:dyDescent="0.2">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R4" s="124" t="s">
        <v>561</v>
      </c>
      <c r="S4" s="124"/>
      <c r="T4" s="124"/>
      <c r="U4" s="124"/>
      <c r="V4" s="124"/>
      <c r="W4" s="124"/>
      <c r="X4" s="124"/>
      <c r="Y4" s="124"/>
      <c r="Z4" s="124"/>
    </row>
    <row r="5" spans="1:26" ht="16" x14ac:dyDescent="0.2">
      <c r="A5" s="127" t="s">
        <v>562</v>
      </c>
      <c r="B5" s="7"/>
      <c r="C5" s="128">
        <v>9</v>
      </c>
      <c r="D5" s="32">
        <f>SUM(G5:P5)</f>
        <v>13</v>
      </c>
      <c r="E5" s="33">
        <f>IF(D5&gt;C5,1,IFERROR(D5/C5,""))</f>
        <v>1</v>
      </c>
      <c r="F5" s="7"/>
      <c r="G5" s="13">
        <v>1</v>
      </c>
      <c r="H5" s="13">
        <v>5</v>
      </c>
      <c r="I5" s="13">
        <v>5</v>
      </c>
      <c r="J5" s="13"/>
      <c r="K5" s="13"/>
      <c r="L5" s="132"/>
      <c r="M5" s="13">
        <v>1</v>
      </c>
      <c r="N5" s="13"/>
      <c r="O5" s="13">
        <v>1</v>
      </c>
    </row>
    <row r="6" spans="1:26" ht="16" x14ac:dyDescent="0.2">
      <c r="A6" s="127" t="s">
        <v>563</v>
      </c>
      <c r="B6" s="7"/>
      <c r="C6" s="128">
        <v>9</v>
      </c>
      <c r="D6" s="32">
        <f>SUM(G6:P6)</f>
        <v>9</v>
      </c>
      <c r="E6" s="33">
        <f>IF(D6&gt;C6,1,IFERROR(D6/C6,""))</f>
        <v>1</v>
      </c>
      <c r="F6" s="7"/>
      <c r="G6" s="13">
        <v>3</v>
      </c>
      <c r="H6" s="13"/>
      <c r="I6" s="13">
        <v>4</v>
      </c>
      <c r="J6" s="13"/>
      <c r="K6" s="13"/>
      <c r="L6" s="132"/>
      <c r="M6" s="13">
        <v>1</v>
      </c>
      <c r="N6" s="136"/>
      <c r="O6" s="136">
        <v>1</v>
      </c>
    </row>
    <row r="7" spans="1:26" ht="16" x14ac:dyDescent="0.2">
      <c r="A7" s="127" t="s">
        <v>612</v>
      </c>
      <c r="C7" s="128">
        <v>8</v>
      </c>
      <c r="D7" s="32">
        <f>SUM(G7:P7)</f>
        <v>2</v>
      </c>
      <c r="E7" s="33">
        <f>IF(D7&gt;C7,1,IFERROR(D7/C7,""))</f>
        <v>0.25</v>
      </c>
      <c r="G7" s="136">
        <v>1</v>
      </c>
      <c r="H7" s="136">
        <v>1</v>
      </c>
      <c r="I7" s="136"/>
      <c r="J7" s="136"/>
      <c r="K7" s="13"/>
      <c r="L7" s="132"/>
      <c r="M7" s="136"/>
      <c r="N7" s="13"/>
      <c r="O7" s="13"/>
      <c r="R7" s="125"/>
    </row>
    <row r="8" spans="1:26" ht="16" x14ac:dyDescent="0.2">
      <c r="A8" s="127"/>
      <c r="B8" s="7"/>
      <c r="C8" s="128"/>
      <c r="D8" s="32">
        <f>SUM(G8:P8)</f>
        <v>0</v>
      </c>
      <c r="E8" s="33" t="str">
        <f>IF(D8&gt;C8,1,IFERROR(D8/C8,""))</f>
        <v/>
      </c>
      <c r="F8" s="7"/>
      <c r="G8" s="13"/>
      <c r="H8" s="13"/>
      <c r="I8" s="13"/>
      <c r="J8" s="13"/>
      <c r="K8" s="13"/>
      <c r="L8" s="132"/>
      <c r="M8" s="13"/>
      <c r="N8" s="13"/>
      <c r="O8" s="13"/>
    </row>
    <row r="9" spans="1:26" ht="16" x14ac:dyDescent="0.2">
      <c r="C9" s="123"/>
      <c r="P9" s="76"/>
      <c r="S9" s="76"/>
    </row>
    <row r="10" spans="1:26" ht="16" x14ac:dyDescent="0.2">
      <c r="A10" s="10" t="s">
        <v>564</v>
      </c>
      <c r="B10" s="3"/>
      <c r="C10" s="124" t="s">
        <v>553</v>
      </c>
      <c r="D10" s="124" t="s">
        <v>554</v>
      </c>
      <c r="E10" s="124" t="s">
        <v>49</v>
      </c>
      <c r="G10" s="12" t="s">
        <v>555</v>
      </c>
      <c r="H10" s="12" t="s">
        <v>556</v>
      </c>
      <c r="I10" s="12" t="s">
        <v>557</v>
      </c>
      <c r="J10" s="12" t="s">
        <v>558</v>
      </c>
      <c r="K10" s="12" t="s">
        <v>1</v>
      </c>
      <c r="L10" s="12" t="s">
        <v>50</v>
      </c>
      <c r="M10" s="12" t="s">
        <v>3</v>
      </c>
      <c r="N10" s="12" t="s">
        <v>559</v>
      </c>
      <c r="O10" s="12" t="s">
        <v>560</v>
      </c>
      <c r="P10" s="12"/>
      <c r="Q10" s="12"/>
      <c r="R10" s="76"/>
      <c r="S10" s="76"/>
    </row>
    <row r="11" spans="1:26" ht="16" x14ac:dyDescent="0.2">
      <c r="A11" s="76" t="s">
        <v>618</v>
      </c>
      <c r="C11" s="130">
        <v>6</v>
      </c>
      <c r="D11" s="13">
        <f t="shared" ref="D11:D16" si="0">COUNTIF(G11:P11,"X")</f>
        <v>3</v>
      </c>
      <c r="E11" s="33">
        <f t="shared" ref="E11:E15" si="1">IF(D11&gt;C11,1,IFERROR(D11/C11,""))</f>
        <v>0.5</v>
      </c>
      <c r="G11" s="13" t="s">
        <v>53</v>
      </c>
      <c r="H11" s="13" t="s">
        <v>53</v>
      </c>
      <c r="I11" s="13"/>
      <c r="J11" s="13"/>
      <c r="K11" s="132"/>
      <c r="L11" s="132"/>
      <c r="M11" s="132" t="s">
        <v>53</v>
      </c>
      <c r="N11" s="132"/>
      <c r="O11" s="132"/>
      <c r="P11" s="136"/>
      <c r="Q11" s="132"/>
      <c r="S11" s="76"/>
    </row>
    <row r="12" spans="1:26" ht="16" x14ac:dyDescent="0.2">
      <c r="A12" s="76" t="s">
        <v>566</v>
      </c>
      <c r="C12" s="130">
        <v>5</v>
      </c>
      <c r="D12" s="13">
        <f t="shared" si="0"/>
        <v>7</v>
      </c>
      <c r="E12" s="33">
        <f t="shared" si="1"/>
        <v>1</v>
      </c>
      <c r="G12" s="13" t="s">
        <v>53</v>
      </c>
      <c r="H12" s="13" t="s">
        <v>53</v>
      </c>
      <c r="I12" s="13" t="s">
        <v>53</v>
      </c>
      <c r="J12" s="13" t="s">
        <v>53</v>
      </c>
      <c r="K12" s="132"/>
      <c r="L12" s="132"/>
      <c r="M12" s="13" t="s">
        <v>53</v>
      </c>
      <c r="N12" s="132" t="s">
        <v>53</v>
      </c>
      <c r="O12" s="132" t="s">
        <v>53</v>
      </c>
      <c r="P12" s="132"/>
      <c r="Q12" s="132"/>
      <c r="S12" s="76"/>
    </row>
    <row r="13" spans="1:26" ht="16" x14ac:dyDescent="0.2">
      <c r="A13" s="76" t="s">
        <v>567</v>
      </c>
      <c r="C13" s="130">
        <v>5</v>
      </c>
      <c r="D13" s="13">
        <f t="shared" si="0"/>
        <v>6</v>
      </c>
      <c r="E13" s="33">
        <f t="shared" si="1"/>
        <v>1</v>
      </c>
      <c r="G13" s="13" t="s">
        <v>53</v>
      </c>
      <c r="H13" s="13" t="s">
        <v>53</v>
      </c>
      <c r="I13" s="13" t="s">
        <v>53</v>
      </c>
      <c r="J13" s="13" t="s">
        <v>53</v>
      </c>
      <c r="K13" s="132"/>
      <c r="L13" s="132"/>
      <c r="M13" s="13" t="s">
        <v>53</v>
      </c>
      <c r="N13" s="132" t="s">
        <v>53</v>
      </c>
      <c r="O13" s="132"/>
      <c r="P13" s="132"/>
      <c r="Q13" s="132"/>
      <c r="S13" s="76"/>
    </row>
    <row r="14" spans="1:26" ht="16" x14ac:dyDescent="0.2">
      <c r="A14" s="76" t="s">
        <v>568</v>
      </c>
      <c r="C14" s="130">
        <v>5</v>
      </c>
      <c r="D14" s="13">
        <f t="shared" si="0"/>
        <v>6</v>
      </c>
      <c r="E14" s="33">
        <f t="shared" si="1"/>
        <v>1</v>
      </c>
      <c r="G14" s="13" t="s">
        <v>53</v>
      </c>
      <c r="H14" s="13" t="s">
        <v>53</v>
      </c>
      <c r="I14" s="13" t="s">
        <v>53</v>
      </c>
      <c r="J14" s="13" t="s">
        <v>53</v>
      </c>
      <c r="K14" s="132"/>
      <c r="L14" s="132"/>
      <c r="M14" s="13" t="s">
        <v>53</v>
      </c>
      <c r="N14" s="132" t="s">
        <v>53</v>
      </c>
      <c r="O14" s="13"/>
      <c r="P14" s="13"/>
      <c r="Q14" s="132"/>
      <c r="R14" s="125"/>
      <c r="S14" s="76"/>
    </row>
    <row r="15" spans="1:26" ht="16" x14ac:dyDescent="0.2">
      <c r="A15" s="76" t="s">
        <v>569</v>
      </c>
      <c r="C15" s="130">
        <v>5</v>
      </c>
      <c r="D15" s="13">
        <f t="shared" si="0"/>
        <v>2</v>
      </c>
      <c r="E15" s="33">
        <f t="shared" si="1"/>
        <v>0.4</v>
      </c>
      <c r="G15" s="13" t="s">
        <v>53</v>
      </c>
      <c r="H15" s="13" t="s">
        <v>53</v>
      </c>
      <c r="I15" s="13"/>
      <c r="J15" s="13"/>
      <c r="K15" s="132"/>
      <c r="L15" s="132"/>
      <c r="M15" s="13"/>
      <c r="N15" s="13"/>
      <c r="O15" s="132"/>
      <c r="P15" s="132"/>
      <c r="Q15" s="132"/>
      <c r="R15" s="126"/>
      <c r="S15" s="76"/>
    </row>
    <row r="16" spans="1:26" ht="16" x14ac:dyDescent="0.2">
      <c r="A16" s="76" t="s">
        <v>570</v>
      </c>
      <c r="C16" s="130">
        <v>5</v>
      </c>
      <c r="D16" s="13">
        <f t="shared" si="0"/>
        <v>2</v>
      </c>
      <c r="E16" s="33">
        <f>IF(D16&gt;C16,1,IFERROR(D16/C16,""))</f>
        <v>0.4</v>
      </c>
      <c r="G16" s="13"/>
      <c r="H16" s="13"/>
      <c r="I16" s="13" t="s">
        <v>53</v>
      </c>
      <c r="J16" s="13" t="s">
        <v>53</v>
      </c>
      <c r="K16" s="132"/>
      <c r="L16" s="132"/>
      <c r="M16" s="13"/>
      <c r="N16" s="132"/>
      <c r="O16" s="13"/>
      <c r="P16" s="13"/>
      <c r="Q16" s="132"/>
      <c r="S16" s="7"/>
    </row>
    <row r="17" spans="1:18" x14ac:dyDescent="0.2"/>
    <row r="18" spans="1:18" ht="16" hidden="1" x14ac:dyDescent="0.2">
      <c r="A18" s="78" t="s">
        <v>571</v>
      </c>
      <c r="B18" s="80"/>
      <c r="C18" s="124" t="s">
        <v>553</v>
      </c>
      <c r="D18" s="124" t="s">
        <v>554</v>
      </c>
      <c r="E18" s="124" t="s">
        <v>49</v>
      </c>
      <c r="G18" s="12"/>
      <c r="H18" s="12"/>
      <c r="I18" s="12"/>
      <c r="J18" s="12"/>
      <c r="K18" s="12"/>
      <c r="L18" s="12"/>
      <c r="M18" s="12"/>
      <c r="N18" s="12"/>
      <c r="O18" s="12"/>
      <c r="P18" s="12" t="s">
        <v>559</v>
      </c>
    </row>
    <row r="19" spans="1:18" ht="16" hidden="1" x14ac:dyDescent="0.2">
      <c r="A19" s="76" t="s">
        <v>572</v>
      </c>
      <c r="C19" s="130">
        <v>3</v>
      </c>
      <c r="D19" s="13">
        <f t="shared" ref="D19:D21" si="2">COUNTIF(G19:P19,"X")</f>
        <v>0</v>
      </c>
      <c r="E19" s="33">
        <f>IF(D19&gt;C19,1,IFERROR(D19/C19,""))</f>
        <v>0</v>
      </c>
      <c r="G19" s="13"/>
      <c r="H19" s="13"/>
      <c r="I19" s="13"/>
      <c r="J19" s="137"/>
      <c r="K19" s="13"/>
      <c r="L19" s="137"/>
      <c r="M19" s="13"/>
      <c r="N19" s="13"/>
      <c r="O19" s="13"/>
      <c r="P19" s="13"/>
      <c r="R19" s="126"/>
    </row>
    <row r="20" spans="1:18" ht="16" hidden="1" x14ac:dyDescent="0.2">
      <c r="A20" s="76" t="s">
        <v>573</v>
      </c>
      <c r="C20" s="130">
        <v>10</v>
      </c>
      <c r="D20" s="13">
        <f t="shared" si="2"/>
        <v>0</v>
      </c>
      <c r="E20" s="33">
        <f>IF(D20&gt;C20,1,IFERROR(D20/C20,""))</f>
        <v>0</v>
      </c>
      <c r="G20" s="137"/>
      <c r="H20" s="137"/>
      <c r="I20" s="137"/>
      <c r="J20" s="137"/>
      <c r="K20" s="137"/>
      <c r="L20" s="137"/>
      <c r="M20" s="137"/>
      <c r="N20" s="137"/>
      <c r="O20" s="137"/>
      <c r="P20" s="137">
        <v>45335</v>
      </c>
    </row>
    <row r="21" spans="1:18" ht="16" hidden="1" x14ac:dyDescent="0.2">
      <c r="A21" s="76" t="s">
        <v>574</v>
      </c>
      <c r="C21" s="130">
        <v>10</v>
      </c>
      <c r="D21" s="13">
        <f t="shared" si="2"/>
        <v>0</v>
      </c>
      <c r="E21" s="33">
        <f>IF(D21&gt;C21,1,IFERROR(D21/C21,""))</f>
        <v>0</v>
      </c>
      <c r="G21" s="137"/>
      <c r="H21" s="137"/>
      <c r="I21" s="137"/>
      <c r="J21" s="137"/>
      <c r="K21" s="137"/>
      <c r="L21" s="137"/>
      <c r="M21" s="137"/>
      <c r="N21" s="137"/>
      <c r="O21" s="137"/>
      <c r="P21" s="137">
        <v>45329</v>
      </c>
    </row>
    <row r="22" spans="1:18" ht="16" hidden="1" x14ac:dyDescent="0.2">
      <c r="A22" s="76"/>
      <c r="C22" s="130"/>
      <c r="D22" s="13"/>
      <c r="E22" s="13"/>
      <c r="G22" s="13"/>
      <c r="H22" s="13"/>
      <c r="I22" s="13"/>
      <c r="J22" s="13"/>
      <c r="K22" s="13"/>
      <c r="L22" s="133"/>
      <c r="M22" s="13"/>
      <c r="N22" s="13"/>
      <c r="O22" s="13"/>
      <c r="P22" s="13"/>
    </row>
    <row r="23" spans="1:18" ht="16" hidden="1" x14ac:dyDescent="0.2">
      <c r="A23" s="127"/>
      <c r="C23" s="130"/>
      <c r="D23" s="13"/>
      <c r="E23" s="13"/>
      <c r="G23" s="13"/>
      <c r="H23" s="13"/>
      <c r="I23" s="13"/>
      <c r="J23" s="13"/>
      <c r="K23" s="13"/>
      <c r="L23" s="133"/>
      <c r="M23" s="13"/>
      <c r="N23" s="13"/>
      <c r="O23" s="13"/>
      <c r="P23" s="13"/>
      <c r="R23" s="126"/>
    </row>
    <row r="24" spans="1:18" ht="16" x14ac:dyDescent="0.2">
      <c r="A24" s="127"/>
      <c r="C24" s="127"/>
      <c r="G24" s="129"/>
      <c r="N24" s="118"/>
      <c r="O24" s="118"/>
    </row>
    <row r="25" spans="1:18" ht="16" x14ac:dyDescent="0.2">
      <c r="A25" s="7"/>
      <c r="N25" s="118"/>
      <c r="O25" s="118"/>
    </row>
    <row r="26" spans="1:18" ht="16" x14ac:dyDescent="0.2">
      <c r="A26" s="78" t="s">
        <v>575</v>
      </c>
      <c r="B26" s="80"/>
      <c r="C26" s="124" t="s">
        <v>553</v>
      </c>
      <c r="D26" s="124" t="s">
        <v>554</v>
      </c>
      <c r="E26" s="124" t="s">
        <v>49</v>
      </c>
      <c r="G26" s="12" t="s">
        <v>555</v>
      </c>
      <c r="H26" s="12" t="s">
        <v>556</v>
      </c>
      <c r="I26" s="12" t="s">
        <v>557</v>
      </c>
      <c r="J26" s="12" t="s">
        <v>558</v>
      </c>
      <c r="K26" s="12" t="s">
        <v>1</v>
      </c>
      <c r="L26" s="12" t="s">
        <v>50</v>
      </c>
      <c r="M26" s="12" t="s">
        <v>3</v>
      </c>
      <c r="N26" s="12" t="s">
        <v>559</v>
      </c>
      <c r="O26" s="12" t="s">
        <v>560</v>
      </c>
    </row>
    <row r="27" spans="1:18" ht="16" x14ac:dyDescent="0.2">
      <c r="A27" s="127" t="s">
        <v>619</v>
      </c>
      <c r="C27" s="130">
        <v>5</v>
      </c>
      <c r="D27" s="13">
        <f t="shared" ref="D27:D33" si="3">COUNTIF(G27:P27,"X")</f>
        <v>1</v>
      </c>
      <c r="E27" s="33">
        <f>IF(D27&gt;C27,1,IFERROR(D27/C27,""))</f>
        <v>0.2</v>
      </c>
      <c r="G27" s="13"/>
      <c r="H27" s="13" t="s">
        <v>53</v>
      </c>
      <c r="I27" s="13"/>
      <c r="J27" s="13"/>
      <c r="K27" s="13"/>
      <c r="L27" s="132"/>
      <c r="M27" s="132"/>
      <c r="N27" s="132"/>
      <c r="O27" s="132"/>
      <c r="R27" s="126"/>
    </row>
    <row r="28" spans="1:18" ht="16" x14ac:dyDescent="0.2">
      <c r="A28" s="127" t="s">
        <v>577</v>
      </c>
      <c r="C28" s="130">
        <v>4</v>
      </c>
      <c r="D28" s="13">
        <f t="shared" si="3"/>
        <v>2</v>
      </c>
      <c r="E28" s="33">
        <f>IF(D28&gt;C28,1,IFERROR(D28/C28,""))</f>
        <v>0.5</v>
      </c>
      <c r="G28" s="13"/>
      <c r="H28" s="13"/>
      <c r="I28" s="13"/>
      <c r="J28" s="13"/>
      <c r="K28" s="13"/>
      <c r="L28" s="132"/>
      <c r="M28" s="132" t="s">
        <v>53</v>
      </c>
      <c r="N28" s="132" t="s">
        <v>53</v>
      </c>
      <c r="O28" s="132"/>
      <c r="R28" s="126"/>
    </row>
    <row r="29" spans="1:18" ht="17" x14ac:dyDescent="0.2">
      <c r="A29" s="131" t="s">
        <v>589</v>
      </c>
      <c r="C29" s="130">
        <v>5</v>
      </c>
      <c r="D29" s="13">
        <f>COUNTIF(G29:P29,"X")</f>
        <v>2</v>
      </c>
      <c r="E29" s="33">
        <f>IF(D29&gt;C29,1,IFERROR(D29/C29,""))</f>
        <v>0.4</v>
      </c>
      <c r="G29" s="13"/>
      <c r="H29" s="13"/>
      <c r="I29" s="13"/>
      <c r="J29" s="13"/>
      <c r="K29" s="13"/>
      <c r="L29" s="13"/>
      <c r="M29" s="13" t="s">
        <v>53</v>
      </c>
      <c r="N29" s="13" t="s">
        <v>53</v>
      </c>
      <c r="O29" s="13"/>
      <c r="R29" s="126"/>
    </row>
    <row r="30" spans="1:18" x14ac:dyDescent="0.2">
      <c r="C30" s="130"/>
      <c r="D30" s="13">
        <f t="shared" si="3"/>
        <v>0</v>
      </c>
      <c r="E30" s="33" t="str">
        <f>IF(D30&gt;C30,1,IFERROR(D30/C30,""))</f>
        <v/>
      </c>
      <c r="G30" s="13"/>
      <c r="H30" s="13"/>
      <c r="I30" s="13"/>
      <c r="J30" s="13"/>
      <c r="K30" s="13"/>
      <c r="L30" s="13"/>
      <c r="M30" s="13"/>
      <c r="N30" s="13"/>
      <c r="O30" s="13"/>
      <c r="P30" s="126"/>
    </row>
    <row r="31" spans="1:18" ht="16" x14ac:dyDescent="0.2">
      <c r="A31" s="127"/>
      <c r="C31" s="130"/>
      <c r="D31" s="13">
        <f t="shared" si="3"/>
        <v>0</v>
      </c>
      <c r="E31" s="33" t="str">
        <f t="shared" ref="E31:E33" si="4">IF(D31&gt;C31,1,IFERROR(D31/C31,""))</f>
        <v/>
      </c>
      <c r="G31" s="13"/>
      <c r="H31" s="13"/>
      <c r="I31" s="13"/>
      <c r="J31" s="13"/>
      <c r="K31" s="13"/>
      <c r="L31" s="13"/>
      <c r="M31" s="13"/>
      <c r="N31" s="13"/>
      <c r="O31" s="13"/>
      <c r="P31" s="126"/>
    </row>
    <row r="32" spans="1:18" ht="16" x14ac:dyDescent="0.2">
      <c r="A32" s="127"/>
      <c r="C32" s="130"/>
      <c r="D32" s="13">
        <f t="shared" si="3"/>
        <v>0</v>
      </c>
      <c r="E32" s="33" t="str">
        <f t="shared" si="4"/>
        <v/>
      </c>
      <c r="G32" s="13"/>
      <c r="H32" s="13"/>
      <c r="I32" s="13"/>
      <c r="J32" s="13"/>
      <c r="K32" s="13"/>
      <c r="L32" s="13"/>
      <c r="M32" s="13"/>
      <c r="N32" s="13"/>
      <c r="O32" s="13"/>
    </row>
    <row r="33" spans="1:15" ht="16" x14ac:dyDescent="0.2">
      <c r="A33" s="127"/>
      <c r="C33" s="130"/>
      <c r="D33" s="13">
        <f t="shared" si="3"/>
        <v>0</v>
      </c>
      <c r="E33" s="33" t="str">
        <f t="shared" si="4"/>
        <v/>
      </c>
      <c r="G33" s="13"/>
      <c r="H33" s="13"/>
      <c r="I33" s="13"/>
      <c r="J33" s="13"/>
      <c r="K33" s="13"/>
      <c r="L33" s="13"/>
      <c r="M33" s="13"/>
      <c r="N33" s="13"/>
      <c r="O33" s="13"/>
    </row>
    <row r="34" spans="1:15" x14ac:dyDescent="0.2"/>
  </sheetData>
  <conditionalFormatting sqref="E5:E8 E11:E16 E19:E21">
    <cfRule type="cellIs" dxfId="54" priority="17" operator="between">
      <formula>0</formula>
      <formula>0.64</formula>
    </cfRule>
    <cfRule type="cellIs" dxfId="53" priority="18" operator="between">
      <formula>0.64</formula>
      <formula>0.8</formula>
    </cfRule>
    <cfRule type="cellIs" dxfId="52" priority="19" operator="between">
      <formula>0.79</formula>
      <formula>0.9</formula>
    </cfRule>
    <cfRule type="cellIs" dxfId="51" priority="20" operator="between">
      <formula>0.89</formula>
      <formula>1</formula>
    </cfRule>
  </conditionalFormatting>
  <conditionalFormatting sqref="E27:E33">
    <cfRule type="cellIs" dxfId="50" priority="11" operator="between">
      <formula>0</formula>
      <formula>0.64</formula>
    </cfRule>
    <cfRule type="cellIs" dxfId="49" priority="12" operator="between">
      <formula>0.64</formula>
      <formula>0.8</formula>
    </cfRule>
    <cfRule type="cellIs" dxfId="48" priority="13" operator="between">
      <formula>0.79</formula>
      <formula>0.9</formula>
    </cfRule>
    <cfRule type="cellIs" dxfId="47" priority="14" operator="between">
      <formula>0.89</formula>
      <formula>1</formula>
    </cfRule>
  </conditionalFormatting>
  <conditionalFormatting sqref="G14:M16">
    <cfRule type="cellIs" dxfId="46" priority="2" operator="equal">
      <formula>"x"</formula>
    </cfRule>
  </conditionalFormatting>
  <conditionalFormatting sqref="G5:O9">
    <cfRule type="cellIs" dxfId="45" priority="9" operator="equal">
      <formula>1</formula>
    </cfRule>
  </conditionalFormatting>
  <conditionalFormatting sqref="G17:O17">
    <cfRule type="cellIs" dxfId="44" priority="15" operator="equal">
      <formula>"x"</formula>
    </cfRule>
  </conditionalFormatting>
  <conditionalFormatting sqref="G24:O34">
    <cfRule type="cellIs" dxfId="43" priority="1" operator="equal">
      <formula>"x"</formula>
    </cfRule>
  </conditionalFormatting>
  <conditionalFormatting sqref="G18:P23">
    <cfRule type="cellIs" dxfId="42" priority="10" operator="equal">
      <formula>"x"</formula>
    </cfRule>
  </conditionalFormatting>
  <conditionalFormatting sqref="G10:Q13">
    <cfRule type="cellIs" dxfId="41" priority="4" operator="equal">
      <formula>"x"</formula>
    </cfRule>
  </conditionalFormatting>
  <conditionalFormatting sqref="H4:K4 G4:G6">
    <cfRule type="cellIs" dxfId="40" priority="16" operator="equal">
      <formula>1</formula>
    </cfRule>
  </conditionalFormatting>
  <conditionalFormatting sqref="M14:M15">
    <cfRule type="cellIs" dxfId="39" priority="7" operator="equal">
      <formula>1</formula>
    </cfRule>
  </conditionalFormatting>
  <conditionalFormatting sqref="M16:N16">
    <cfRule type="cellIs" dxfId="38" priority="6" operator="equal">
      <formula>1</formula>
    </cfRule>
  </conditionalFormatting>
  <conditionalFormatting sqref="N14:P15">
    <cfRule type="cellIs" dxfId="37" priority="3" operator="equal">
      <formula>"x"</formula>
    </cfRule>
  </conditionalFormatting>
  <conditionalFormatting sqref="O16:P16">
    <cfRule type="cellIs" dxfId="36" priority="5" operator="equal">
      <formula>"x"</formula>
    </cfRule>
  </conditionalFormatting>
  <conditionalFormatting sqref="Q14:Q16">
    <cfRule type="cellIs" dxfId="35" priority="8" operator="equal">
      <formula>1</formula>
    </cfRule>
  </conditionalFormatting>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6FA34-52BB-41A6-B8DF-7829B0F56B38}">
  <sheetPr>
    <tabColor theme="0"/>
  </sheetPr>
  <dimension ref="A2:O34"/>
  <sheetViews>
    <sheetView showGridLines="0" tabSelected="1" topLeftCell="B1" zoomScaleNormal="100" workbookViewId="0">
      <selection activeCell="T15" sqref="T15"/>
    </sheetView>
  </sheetViews>
  <sheetFormatPr baseColWidth="10" defaultColWidth="9.1640625" defaultRowHeight="15" customHeight="1" x14ac:dyDescent="0.2"/>
  <cols>
    <col min="1" max="1" width="42.5" customWidth="1"/>
    <col min="2" max="2" width="4.5" customWidth="1"/>
    <col min="3" max="3" width="13.5" customWidth="1"/>
    <col min="4" max="4" width="11.5" customWidth="1"/>
    <col min="5" max="5" width="12.1640625" customWidth="1"/>
    <col min="6" max="6" width="3.5" customWidth="1"/>
    <col min="7" max="15" width="10.5" customWidth="1"/>
  </cols>
  <sheetData>
    <row r="2" spans="1:14" ht="19" x14ac:dyDescent="0.25">
      <c r="A2" s="122" t="s">
        <v>617</v>
      </c>
    </row>
    <row r="3" spans="1:14" x14ac:dyDescent="0.2"/>
    <row r="4" spans="1:14" ht="17" thickBot="1" x14ac:dyDescent="0.25">
      <c r="A4" s="10" t="s">
        <v>552</v>
      </c>
      <c r="B4" s="3"/>
      <c r="C4" s="124" t="s">
        <v>553</v>
      </c>
      <c r="D4" s="124" t="s">
        <v>554</v>
      </c>
      <c r="E4" s="124" t="s">
        <v>49</v>
      </c>
      <c r="G4" s="12" t="s">
        <v>555</v>
      </c>
      <c r="H4" s="12" t="s">
        <v>556</v>
      </c>
      <c r="I4" s="12" t="s">
        <v>557</v>
      </c>
      <c r="J4" s="12" t="s">
        <v>558</v>
      </c>
      <c r="K4" s="12" t="s">
        <v>50</v>
      </c>
      <c r="L4" s="12" t="s">
        <v>3</v>
      </c>
      <c r="M4" s="12" t="s">
        <v>559</v>
      </c>
      <c r="N4" s="12" t="s">
        <v>560</v>
      </c>
    </row>
    <row r="5" spans="1:14" ht="17" thickTop="1" x14ac:dyDescent="0.2">
      <c r="A5" s="127" t="s">
        <v>562</v>
      </c>
      <c r="B5" s="7"/>
      <c r="C5" s="128">
        <v>9</v>
      </c>
      <c r="D5" s="32">
        <f>SUM(G5:N5)</f>
        <v>13</v>
      </c>
      <c r="E5" s="33">
        <f>IF(D5&gt;C5,1,IFERROR(D5/C5,""))</f>
        <v>1</v>
      </c>
      <c r="F5" s="7"/>
      <c r="G5" s="13">
        <v>3</v>
      </c>
      <c r="H5" s="13">
        <v>2</v>
      </c>
      <c r="I5" s="13">
        <v>2</v>
      </c>
      <c r="J5" s="13">
        <v>1</v>
      </c>
      <c r="K5" s="132"/>
      <c r="L5" s="13">
        <v>2</v>
      </c>
      <c r="M5" s="13">
        <v>3</v>
      </c>
      <c r="N5" s="13"/>
    </row>
    <row r="6" spans="1:14" ht="16" x14ac:dyDescent="0.2">
      <c r="A6" s="127" t="s">
        <v>563</v>
      </c>
      <c r="B6" s="7"/>
      <c r="C6" s="128">
        <v>9</v>
      </c>
      <c r="D6" s="32">
        <f>SUM(G6:N6)</f>
        <v>11</v>
      </c>
      <c r="E6" s="33">
        <f>IF(D6&gt;C6,1,IFERROR(D6/C6,""))</f>
        <v>1</v>
      </c>
      <c r="F6" s="7"/>
      <c r="G6" s="13">
        <v>3</v>
      </c>
      <c r="H6" s="13">
        <v>2</v>
      </c>
      <c r="I6" s="13">
        <v>1</v>
      </c>
      <c r="J6" s="13">
        <v>1</v>
      </c>
      <c r="K6" s="132"/>
      <c r="L6" s="13">
        <v>1</v>
      </c>
      <c r="M6" s="136">
        <v>2</v>
      </c>
      <c r="N6" s="136">
        <v>1</v>
      </c>
    </row>
    <row r="7" spans="1:14" ht="16" x14ac:dyDescent="0.2">
      <c r="A7" s="127" t="s">
        <v>612</v>
      </c>
      <c r="C7" s="128">
        <v>8</v>
      </c>
      <c r="D7" s="32">
        <f>SUM(G7:N7)</f>
        <v>4</v>
      </c>
      <c r="E7" s="33">
        <f>IF(D7&gt;C7,1,IFERROR(D7/C7,""))</f>
        <v>0.5</v>
      </c>
      <c r="G7" s="136">
        <v>1</v>
      </c>
      <c r="H7" s="136">
        <v>1</v>
      </c>
      <c r="I7" s="136">
        <v>1</v>
      </c>
      <c r="J7" s="136">
        <v>1</v>
      </c>
      <c r="K7" s="132"/>
      <c r="L7" s="136"/>
      <c r="M7" s="13"/>
      <c r="N7" s="13"/>
    </row>
    <row r="8" spans="1:14" ht="16" x14ac:dyDescent="0.2">
      <c r="A8" s="127"/>
      <c r="B8" s="7"/>
      <c r="C8" s="128"/>
      <c r="D8" s="32">
        <f>SUM(G8:N8)</f>
        <v>0</v>
      </c>
      <c r="E8" s="33" t="str">
        <f>IF(D8&gt;C8,1,IFERROR(D8/C8,""))</f>
        <v/>
      </c>
      <c r="F8" s="7"/>
      <c r="G8" s="13"/>
      <c r="H8" s="13"/>
      <c r="I8" s="13"/>
      <c r="J8" s="13"/>
      <c r="K8" s="132"/>
      <c r="L8" s="13"/>
      <c r="M8" s="13"/>
      <c r="N8" s="13"/>
    </row>
    <row r="9" spans="1:14" x14ac:dyDescent="0.2">
      <c r="C9" s="123"/>
    </row>
    <row r="10" spans="1:14" ht="17" thickBot="1" x14ac:dyDescent="0.25">
      <c r="A10" s="10" t="s">
        <v>564</v>
      </c>
      <c r="B10" s="3"/>
      <c r="C10" s="124" t="s">
        <v>553</v>
      </c>
      <c r="D10" s="124" t="s">
        <v>554</v>
      </c>
      <c r="E10" s="124" t="s">
        <v>49</v>
      </c>
      <c r="G10" s="12" t="s">
        <v>555</v>
      </c>
      <c r="H10" s="12" t="s">
        <v>556</v>
      </c>
      <c r="I10" s="12" t="s">
        <v>557</v>
      </c>
      <c r="J10" s="12" t="s">
        <v>558</v>
      </c>
      <c r="K10" s="12" t="s">
        <v>50</v>
      </c>
      <c r="L10" s="12" t="s">
        <v>3</v>
      </c>
      <c r="M10" s="12" t="s">
        <v>559</v>
      </c>
      <c r="N10" s="12" t="s">
        <v>560</v>
      </c>
    </row>
    <row r="11" spans="1:14" ht="17" thickTop="1" x14ac:dyDescent="0.2">
      <c r="A11" s="76" t="s">
        <v>615</v>
      </c>
      <c r="C11" s="130">
        <v>6</v>
      </c>
      <c r="D11" s="13">
        <f t="shared" ref="D11:D16" si="0">COUNTIF(G11:N11,"X")</f>
        <v>2</v>
      </c>
      <c r="E11" s="33">
        <f t="shared" ref="E11:E15" si="1">IF(D11&gt;C11,1,IFERROR(D11/C11,""))</f>
        <v>0.33333333333333331</v>
      </c>
      <c r="G11" s="13"/>
      <c r="H11" s="13"/>
      <c r="I11" s="13" t="s">
        <v>53</v>
      </c>
      <c r="J11" s="13" t="s">
        <v>53</v>
      </c>
      <c r="K11" s="132"/>
      <c r="L11" s="132"/>
      <c r="M11" s="132"/>
      <c r="N11" s="132"/>
    </row>
    <row r="12" spans="1:14" ht="16" x14ac:dyDescent="0.2">
      <c r="A12" s="76" t="s">
        <v>566</v>
      </c>
      <c r="C12" s="130">
        <v>5</v>
      </c>
      <c r="D12" s="13">
        <f t="shared" si="0"/>
        <v>5</v>
      </c>
      <c r="E12" s="33">
        <f t="shared" si="1"/>
        <v>1</v>
      </c>
      <c r="G12" s="13" t="s">
        <v>53</v>
      </c>
      <c r="H12" s="13" t="s">
        <v>53</v>
      </c>
      <c r="I12" s="13" t="s">
        <v>53</v>
      </c>
      <c r="J12" s="13" t="s">
        <v>53</v>
      </c>
      <c r="K12" s="132"/>
      <c r="L12" s="13" t="s">
        <v>53</v>
      </c>
      <c r="M12" s="132"/>
      <c r="N12" s="132"/>
    </row>
    <row r="13" spans="1:14" ht="16" x14ac:dyDescent="0.2">
      <c r="A13" s="76" t="s">
        <v>567</v>
      </c>
      <c r="C13" s="130">
        <v>5</v>
      </c>
      <c r="D13" s="13">
        <f t="shared" si="0"/>
        <v>5</v>
      </c>
      <c r="E13" s="33">
        <f t="shared" si="1"/>
        <v>1</v>
      </c>
      <c r="G13" s="13" t="s">
        <v>53</v>
      </c>
      <c r="H13" s="13" t="s">
        <v>53</v>
      </c>
      <c r="I13" s="13" t="s">
        <v>53</v>
      </c>
      <c r="J13" s="13" t="s">
        <v>53</v>
      </c>
      <c r="K13" s="132"/>
      <c r="L13" s="13" t="s">
        <v>53</v>
      </c>
      <c r="M13" s="132"/>
      <c r="N13" s="132"/>
    </row>
    <row r="14" spans="1:14" ht="16" x14ac:dyDescent="0.2">
      <c r="A14" s="76" t="s">
        <v>568</v>
      </c>
      <c r="C14" s="130">
        <v>5</v>
      </c>
      <c r="D14" s="13">
        <f t="shared" si="0"/>
        <v>5</v>
      </c>
      <c r="E14" s="33">
        <f t="shared" si="1"/>
        <v>1</v>
      </c>
      <c r="G14" s="13" t="s">
        <v>53</v>
      </c>
      <c r="H14" s="13" t="s">
        <v>53</v>
      </c>
      <c r="I14" s="13" t="s">
        <v>53</v>
      </c>
      <c r="J14" s="13" t="s">
        <v>53</v>
      </c>
      <c r="K14" s="132"/>
      <c r="L14" s="13" t="s">
        <v>53</v>
      </c>
      <c r="M14" s="132"/>
      <c r="N14" s="13"/>
    </row>
    <row r="15" spans="1:14" ht="16" x14ac:dyDescent="0.2">
      <c r="A15" s="76" t="s">
        <v>569</v>
      </c>
      <c r="C15" s="130">
        <v>5</v>
      </c>
      <c r="D15" s="13">
        <f t="shared" si="0"/>
        <v>2</v>
      </c>
      <c r="E15" s="33">
        <f t="shared" si="1"/>
        <v>0.4</v>
      </c>
      <c r="G15" s="13"/>
      <c r="H15" s="13"/>
      <c r="I15" s="13" t="s">
        <v>53</v>
      </c>
      <c r="J15" s="13" t="s">
        <v>53</v>
      </c>
      <c r="K15" s="132"/>
      <c r="L15" s="13"/>
      <c r="M15" s="13"/>
      <c r="N15" s="132"/>
    </row>
    <row r="16" spans="1:14" ht="16" x14ac:dyDescent="0.2">
      <c r="A16" s="76" t="s">
        <v>570</v>
      </c>
      <c r="C16" s="130">
        <v>5</v>
      </c>
      <c r="D16" s="13">
        <f t="shared" si="0"/>
        <v>1</v>
      </c>
      <c r="E16" s="33">
        <f>IF(D16&gt;C16,1,IFERROR(D16/C16,""))</f>
        <v>0.2</v>
      </c>
      <c r="G16" s="13"/>
      <c r="H16" s="13"/>
      <c r="I16" s="13"/>
      <c r="J16" s="13" t="s">
        <v>53</v>
      </c>
      <c r="K16" s="132"/>
      <c r="L16" s="13"/>
      <c r="M16" s="132"/>
      <c r="N16" s="13"/>
    </row>
    <row r="17" spans="1:14" x14ac:dyDescent="0.2"/>
    <row r="18" spans="1:14" ht="17" hidden="1" thickBot="1" x14ac:dyDescent="0.25">
      <c r="A18" s="78" t="s">
        <v>571</v>
      </c>
      <c r="B18" s="80"/>
      <c r="C18" s="124" t="s">
        <v>553</v>
      </c>
      <c r="D18" s="124" t="s">
        <v>554</v>
      </c>
      <c r="E18" s="124" t="s">
        <v>49</v>
      </c>
      <c r="G18" s="12"/>
      <c r="H18" s="12"/>
      <c r="I18" s="12"/>
      <c r="J18" s="12"/>
      <c r="K18" s="12"/>
      <c r="L18" s="12"/>
      <c r="M18" s="12"/>
      <c r="N18" s="12"/>
    </row>
    <row r="19" spans="1:14" ht="16" hidden="1" x14ac:dyDescent="0.2">
      <c r="A19" s="76" t="s">
        <v>572</v>
      </c>
      <c r="C19" s="130">
        <v>3</v>
      </c>
      <c r="D19" s="13">
        <f>COUNTIF(G19:N19,"X")</f>
        <v>0</v>
      </c>
      <c r="E19" s="33">
        <f>IF(D19&gt;C19,1,IFERROR(D19/C19,""))</f>
        <v>0</v>
      </c>
      <c r="G19" s="13"/>
      <c r="H19" s="13"/>
      <c r="I19" s="13"/>
      <c r="J19" s="137"/>
      <c r="K19" s="137"/>
      <c r="L19" s="13"/>
      <c r="M19" s="13"/>
      <c r="N19" s="13"/>
    </row>
    <row r="20" spans="1:14" ht="16" hidden="1" x14ac:dyDescent="0.2">
      <c r="A20" s="76" t="s">
        <v>573</v>
      </c>
      <c r="C20" s="130">
        <v>10</v>
      </c>
      <c r="D20" s="13">
        <f>COUNTIF(G20:N20,"X")</f>
        <v>0</v>
      </c>
      <c r="E20" s="33">
        <f>IF(D20&gt;C20,1,IFERROR(D20/C20,""))</f>
        <v>0</v>
      </c>
      <c r="G20" s="137"/>
      <c r="H20" s="137"/>
      <c r="I20" s="137"/>
      <c r="J20" s="137"/>
      <c r="K20" s="137"/>
      <c r="L20" s="137"/>
      <c r="M20" s="137"/>
      <c r="N20" s="137"/>
    </row>
    <row r="21" spans="1:14" ht="16" hidden="1" x14ac:dyDescent="0.2">
      <c r="A21" s="76" t="s">
        <v>574</v>
      </c>
      <c r="C21" s="130">
        <v>10</v>
      </c>
      <c r="D21" s="13">
        <f>COUNTIF(G21:N21,"X")</f>
        <v>0</v>
      </c>
      <c r="E21" s="33">
        <f>IF(D21&gt;C21,1,IFERROR(D21/C21,""))</f>
        <v>0</v>
      </c>
      <c r="G21" s="137"/>
      <c r="H21" s="137"/>
      <c r="I21" s="137"/>
      <c r="J21" s="137"/>
      <c r="K21" s="137"/>
      <c r="L21" s="137"/>
      <c r="M21" s="137"/>
      <c r="N21" s="137"/>
    </row>
    <row r="22" spans="1:14" ht="16" hidden="1" x14ac:dyDescent="0.2">
      <c r="A22" s="76"/>
      <c r="C22" s="130"/>
      <c r="D22" s="13"/>
      <c r="E22" s="13"/>
      <c r="G22" s="13"/>
      <c r="H22" s="13"/>
      <c r="I22" s="13"/>
      <c r="J22" s="13"/>
      <c r="K22" s="133"/>
      <c r="L22" s="13"/>
      <c r="M22" s="13"/>
      <c r="N22" s="13"/>
    </row>
    <row r="23" spans="1:14" ht="16" hidden="1" x14ac:dyDescent="0.2">
      <c r="A23" s="127"/>
      <c r="C23" s="130"/>
      <c r="D23" s="13"/>
      <c r="E23" s="13"/>
      <c r="G23" s="13"/>
      <c r="H23" s="13"/>
      <c r="I23" s="13"/>
      <c r="J23" s="13"/>
      <c r="K23" s="133"/>
      <c r="L23" s="13"/>
      <c r="M23" s="13"/>
      <c r="N23" s="13"/>
    </row>
    <row r="24" spans="1:14" ht="16" x14ac:dyDescent="0.2">
      <c r="A24" s="127"/>
      <c r="C24" s="127"/>
      <c r="G24" s="129"/>
      <c r="M24" s="118"/>
      <c r="N24" s="118"/>
    </row>
    <row r="25" spans="1:14" ht="16" x14ac:dyDescent="0.2">
      <c r="A25" s="7"/>
      <c r="M25" s="118"/>
      <c r="N25" s="118"/>
    </row>
    <row r="26" spans="1:14" ht="17" thickBot="1" x14ac:dyDescent="0.25">
      <c r="A26" s="78" t="s">
        <v>575</v>
      </c>
      <c r="B26" s="80"/>
      <c r="C26" s="124" t="s">
        <v>553</v>
      </c>
      <c r="D26" s="124" t="s">
        <v>554</v>
      </c>
      <c r="E26" s="124" t="s">
        <v>49</v>
      </c>
      <c r="G26" s="12" t="s">
        <v>555</v>
      </c>
      <c r="H26" s="12" t="s">
        <v>556</v>
      </c>
      <c r="I26" s="12" t="s">
        <v>557</v>
      </c>
      <c r="J26" s="12" t="s">
        <v>558</v>
      </c>
      <c r="K26" s="12" t="s">
        <v>50</v>
      </c>
      <c r="L26" s="12" t="s">
        <v>3</v>
      </c>
      <c r="M26" s="12" t="s">
        <v>559</v>
      </c>
      <c r="N26" s="12" t="s">
        <v>560</v>
      </c>
    </row>
    <row r="27" spans="1:14" ht="17" thickTop="1" x14ac:dyDescent="0.2">
      <c r="A27" s="127" t="s">
        <v>576</v>
      </c>
      <c r="C27" s="130">
        <v>5</v>
      </c>
      <c r="D27" s="13">
        <f t="shared" ref="D27:D33" si="2">COUNTIF(G27:N27,"X")</f>
        <v>2</v>
      </c>
      <c r="E27" s="33">
        <f>IF(D27&gt;C27,1,IFERROR(D27/C27,""))</f>
        <v>0.4</v>
      </c>
      <c r="G27" s="13" t="s">
        <v>53</v>
      </c>
      <c r="H27" s="13" t="s">
        <v>53</v>
      </c>
      <c r="I27" s="132"/>
      <c r="J27" s="132"/>
      <c r="K27" s="132"/>
      <c r="L27" s="132"/>
      <c r="M27" s="132"/>
      <c r="N27" s="132"/>
    </row>
    <row r="28" spans="1:14" ht="16" x14ac:dyDescent="0.2">
      <c r="A28" s="127" t="s">
        <v>577</v>
      </c>
      <c r="C28" s="130">
        <v>4</v>
      </c>
      <c r="D28" s="13">
        <f t="shared" si="2"/>
        <v>1</v>
      </c>
      <c r="E28" s="33">
        <f>IF(D28&gt;C28,1,IFERROR(D28/C28,""))</f>
        <v>0.25</v>
      </c>
      <c r="G28" s="13"/>
      <c r="H28" s="13"/>
      <c r="I28" s="13"/>
      <c r="J28" s="13"/>
      <c r="K28" s="132"/>
      <c r="L28" s="13" t="s">
        <v>53</v>
      </c>
      <c r="M28" s="132"/>
      <c r="N28" s="132"/>
    </row>
    <row r="29" spans="1:14" ht="17" x14ac:dyDescent="0.2">
      <c r="A29" s="131" t="s">
        <v>589</v>
      </c>
      <c r="C29" s="130">
        <v>5</v>
      </c>
      <c r="D29" s="13">
        <f t="shared" si="2"/>
        <v>1</v>
      </c>
      <c r="E29" s="33">
        <f>IF(D29&gt;C29,1,IFERROR(D29/C29,""))</f>
        <v>0.2</v>
      </c>
      <c r="G29" s="13"/>
      <c r="H29" s="13"/>
      <c r="I29" s="13"/>
      <c r="J29" s="13"/>
      <c r="K29" s="13"/>
      <c r="L29" s="13" t="s">
        <v>53</v>
      </c>
      <c r="M29" s="13"/>
      <c r="N29" s="13"/>
    </row>
    <row r="30" spans="1:14" x14ac:dyDescent="0.2">
      <c r="C30" s="130"/>
      <c r="D30" s="13">
        <f t="shared" si="2"/>
        <v>0</v>
      </c>
      <c r="E30" s="33" t="str">
        <f>IF(D30&gt;C30,1,IFERROR(D30/C30,""))</f>
        <v/>
      </c>
      <c r="G30" s="13"/>
      <c r="H30" s="13"/>
      <c r="I30" s="13"/>
      <c r="J30" s="13"/>
      <c r="K30" s="13"/>
      <c r="L30" s="13"/>
      <c r="M30" s="13"/>
      <c r="N30" s="13"/>
    </row>
    <row r="31" spans="1:14" ht="16" x14ac:dyDescent="0.2">
      <c r="A31" s="127"/>
      <c r="C31" s="130"/>
      <c r="D31" s="13">
        <f t="shared" si="2"/>
        <v>0</v>
      </c>
      <c r="E31" s="33" t="str">
        <f t="shared" ref="E31:E33" si="3">IF(D31&gt;C31,1,IFERROR(D31/C31,""))</f>
        <v/>
      </c>
      <c r="G31" s="13"/>
      <c r="H31" s="13"/>
      <c r="I31" s="13"/>
      <c r="J31" s="13"/>
      <c r="K31" s="13"/>
      <c r="L31" s="13"/>
      <c r="M31" s="13"/>
      <c r="N31" s="13"/>
    </row>
    <row r="32" spans="1:14" ht="16" x14ac:dyDescent="0.2">
      <c r="A32" s="127"/>
      <c r="C32" s="130"/>
      <c r="D32" s="13">
        <f t="shared" si="2"/>
        <v>0</v>
      </c>
      <c r="E32" s="33" t="str">
        <f t="shared" si="3"/>
        <v/>
      </c>
      <c r="G32" s="13"/>
      <c r="H32" s="13"/>
      <c r="I32" s="13"/>
      <c r="J32" s="13"/>
      <c r="K32" s="13"/>
      <c r="L32" s="13"/>
      <c r="M32" s="13"/>
      <c r="N32" s="13"/>
    </row>
    <row r="33" spans="1:15" ht="16" x14ac:dyDescent="0.2">
      <c r="A33" s="127"/>
      <c r="C33" s="130"/>
      <c r="D33" s="13">
        <f t="shared" si="2"/>
        <v>0</v>
      </c>
      <c r="E33" s="33" t="str">
        <f t="shared" si="3"/>
        <v/>
      </c>
      <c r="G33" s="13"/>
      <c r="H33" s="13"/>
      <c r="I33" s="13"/>
      <c r="J33" s="13"/>
      <c r="K33" s="13"/>
      <c r="L33" s="13"/>
      <c r="M33" s="13"/>
      <c r="N33" s="13"/>
      <c r="O33" s="11"/>
    </row>
    <row r="34" spans="1:15" x14ac:dyDescent="0.2"/>
  </sheetData>
  <conditionalFormatting sqref="E5:E8 E11:E16 E19:E21">
    <cfRule type="cellIs" dxfId="34" priority="17" operator="between">
      <formula>0</formula>
      <formula>0.64</formula>
    </cfRule>
    <cfRule type="cellIs" dxfId="33" priority="18" operator="between">
      <formula>0.64</formula>
      <formula>0.8</formula>
    </cfRule>
    <cfRule type="cellIs" dxfId="32" priority="19" operator="between">
      <formula>0.79</formula>
      <formula>0.9</formula>
    </cfRule>
    <cfRule type="cellIs" dxfId="31" priority="20" operator="between">
      <formula>0.89</formula>
      <formula>1</formula>
    </cfRule>
  </conditionalFormatting>
  <conditionalFormatting sqref="E27:E33">
    <cfRule type="cellIs" dxfId="30" priority="11" operator="between">
      <formula>0</formula>
      <formula>0.64</formula>
    </cfRule>
    <cfRule type="cellIs" dxfId="29" priority="12" operator="between">
      <formula>0.64</formula>
      <formula>0.8</formula>
    </cfRule>
    <cfRule type="cellIs" dxfId="28" priority="13" operator="between">
      <formula>0.79</formula>
      <formula>0.9</formula>
    </cfRule>
    <cfRule type="cellIs" dxfId="27" priority="14" operator="between">
      <formula>0.89</formula>
      <formula>1</formula>
    </cfRule>
  </conditionalFormatting>
  <conditionalFormatting sqref="G5:O9">
    <cfRule type="cellIs" dxfId="26" priority="9" operator="equal">
      <formula>1</formula>
    </cfRule>
  </conditionalFormatting>
  <conditionalFormatting sqref="G10:O13 G14:L16">
    <cfRule type="cellIs" dxfId="25" priority="2" operator="equal">
      <formula>"x"</formula>
    </cfRule>
  </conditionalFormatting>
  <conditionalFormatting sqref="G17:O34">
    <cfRule type="cellIs" dxfId="24" priority="1" operator="equal">
      <formula>"x"</formula>
    </cfRule>
  </conditionalFormatting>
  <conditionalFormatting sqref="H4:J4 G4:G6">
    <cfRule type="cellIs" dxfId="23" priority="16" operator="equal">
      <formula>1</formula>
    </cfRule>
  </conditionalFormatting>
  <conditionalFormatting sqref="L14:L15">
    <cfRule type="cellIs" dxfId="22" priority="7" operator="equal">
      <formula>1</formula>
    </cfRule>
  </conditionalFormatting>
  <conditionalFormatting sqref="L16:M16">
    <cfRule type="cellIs" dxfId="21" priority="6" operator="equal">
      <formula>1</formula>
    </cfRule>
  </conditionalFormatting>
  <conditionalFormatting sqref="M14:O15">
    <cfRule type="cellIs" dxfId="20" priority="3" operator="equal">
      <formula>"x"</formula>
    </cfRule>
  </conditionalFormatting>
  <conditionalFormatting sqref="N16:O16">
    <cfRule type="cellIs" dxfId="19" priority="5" operator="equal">
      <formula>"x"</formula>
    </cfRule>
  </conditionalFormatting>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1A79-F3AB-4098-AC54-ED280C3942B3}">
  <sheetPr>
    <tabColor theme="0"/>
  </sheetPr>
  <dimension ref="A2:Z34"/>
  <sheetViews>
    <sheetView showGridLines="0" zoomScale="87" zoomScaleNormal="70" workbookViewId="0">
      <selection activeCell="G5" sqref="G5:Q26"/>
    </sheetView>
  </sheetViews>
  <sheetFormatPr baseColWidth="10" defaultColWidth="9.1640625" defaultRowHeight="15" customHeight="1" x14ac:dyDescent="0.2"/>
  <cols>
    <col min="1" max="1" width="42.5" customWidth="1"/>
    <col min="2" max="2" width="4.5" customWidth="1"/>
    <col min="3" max="3" width="13.5" customWidth="1"/>
    <col min="4" max="4" width="11.5" customWidth="1"/>
    <col min="5" max="5" width="12.1640625" customWidth="1"/>
    <col min="6" max="6" width="3.5" customWidth="1"/>
    <col min="7" max="17" width="10.5" customWidth="1"/>
  </cols>
  <sheetData>
    <row r="2" spans="1:26" ht="19" x14ac:dyDescent="0.25">
      <c r="A2" s="122" t="s">
        <v>617</v>
      </c>
    </row>
    <row r="3" spans="1:26" x14ac:dyDescent="0.2"/>
    <row r="4" spans="1:26" ht="16" x14ac:dyDescent="0.2">
      <c r="A4" s="10" t="s">
        <v>552</v>
      </c>
      <c r="B4" s="3"/>
      <c r="C4" s="124" t="s">
        <v>553</v>
      </c>
      <c r="D4" s="124" t="s">
        <v>554</v>
      </c>
      <c r="E4" s="124" t="s">
        <v>49</v>
      </c>
      <c r="G4" s="12" t="s">
        <v>555</v>
      </c>
      <c r="H4" s="12" t="s">
        <v>556</v>
      </c>
      <c r="I4" s="12" t="s">
        <v>557</v>
      </c>
      <c r="J4" s="12" t="s">
        <v>558</v>
      </c>
      <c r="K4" s="12" t="s">
        <v>1</v>
      </c>
      <c r="L4" s="12" t="s">
        <v>50</v>
      </c>
      <c r="M4" s="12" t="s">
        <v>3</v>
      </c>
      <c r="N4" s="12" t="s">
        <v>559</v>
      </c>
      <c r="O4" s="12" t="s">
        <v>560</v>
      </c>
      <c r="R4" s="124" t="s">
        <v>561</v>
      </c>
      <c r="S4" s="124"/>
      <c r="T4" s="124"/>
      <c r="U4" s="124"/>
      <c r="V4" s="124"/>
      <c r="W4" s="124"/>
      <c r="X4" s="124"/>
      <c r="Y4" s="124"/>
      <c r="Z4" s="124"/>
    </row>
    <row r="5" spans="1:26" ht="16" x14ac:dyDescent="0.2">
      <c r="A5" s="127" t="s">
        <v>562</v>
      </c>
      <c r="B5" s="7"/>
      <c r="C5" s="128">
        <v>9</v>
      </c>
      <c r="D5" s="32">
        <f>SUM(G5:P5)</f>
        <v>0</v>
      </c>
      <c r="E5" s="33">
        <f>IF(D5&gt;C5,1,IFERROR(D5/C5,""))</f>
        <v>0</v>
      </c>
      <c r="F5" s="7"/>
      <c r="G5" s="13"/>
      <c r="H5" s="13"/>
      <c r="I5" s="13"/>
      <c r="J5" s="13"/>
      <c r="K5" s="13"/>
      <c r="L5" s="132"/>
      <c r="M5" s="13"/>
      <c r="N5" s="13"/>
      <c r="O5" s="13"/>
    </row>
    <row r="6" spans="1:26" ht="16" x14ac:dyDescent="0.2">
      <c r="A6" s="127" t="s">
        <v>563</v>
      </c>
      <c r="B6" s="7"/>
      <c r="C6" s="128">
        <v>9</v>
      </c>
      <c r="D6" s="32">
        <f>SUM(G6:P6)</f>
        <v>0</v>
      </c>
      <c r="E6" s="33">
        <f>IF(D6&gt;C6,1,IFERROR(D6/C6,""))</f>
        <v>0</v>
      </c>
      <c r="F6" s="7"/>
      <c r="G6" s="13"/>
      <c r="H6" s="13"/>
      <c r="I6" s="13"/>
      <c r="J6" s="13"/>
      <c r="K6" s="13"/>
      <c r="L6" s="132"/>
      <c r="M6" s="13"/>
      <c r="N6" s="136"/>
      <c r="O6" s="136"/>
    </row>
    <row r="7" spans="1:26" ht="16" x14ac:dyDescent="0.2">
      <c r="A7" s="127" t="s">
        <v>612</v>
      </c>
      <c r="C7" s="128">
        <v>8</v>
      </c>
      <c r="D7" s="32">
        <f>SUM(G7:P7)</f>
        <v>0</v>
      </c>
      <c r="E7" s="33">
        <f>IF(D7&gt;C7,1,IFERROR(D7/C7,""))</f>
        <v>0</v>
      </c>
      <c r="G7" s="136"/>
      <c r="H7" s="136"/>
      <c r="I7" s="136"/>
      <c r="J7" s="136"/>
      <c r="K7" s="13"/>
      <c r="L7" s="132"/>
      <c r="M7" s="136"/>
      <c r="N7" s="13"/>
      <c r="O7" s="13"/>
      <c r="R7" s="125"/>
    </row>
    <row r="8" spans="1:26" ht="16" x14ac:dyDescent="0.2">
      <c r="A8" s="127"/>
      <c r="B8" s="7"/>
      <c r="C8" s="128"/>
      <c r="D8" s="32">
        <f>SUM(G8:P8)</f>
        <v>0</v>
      </c>
      <c r="E8" s="33" t="str">
        <f>IF(D8&gt;C8,1,IFERROR(D8/C8,""))</f>
        <v/>
      </c>
      <c r="F8" s="7"/>
      <c r="G8" s="13"/>
      <c r="H8" s="13"/>
      <c r="I8" s="13"/>
      <c r="J8" s="13"/>
      <c r="K8" s="13"/>
      <c r="L8" s="132"/>
      <c r="M8" s="13"/>
      <c r="N8" s="13"/>
      <c r="O8" s="13"/>
    </row>
    <row r="9" spans="1:26" ht="16" x14ac:dyDescent="0.2">
      <c r="C9" s="123"/>
      <c r="P9" s="76"/>
      <c r="S9" s="76"/>
    </row>
    <row r="10" spans="1:26" ht="16" x14ac:dyDescent="0.2">
      <c r="A10" s="10" t="s">
        <v>564</v>
      </c>
      <c r="B10" s="3"/>
      <c r="C10" s="124" t="s">
        <v>553</v>
      </c>
      <c r="D10" s="124" t="s">
        <v>554</v>
      </c>
      <c r="E10" s="124" t="s">
        <v>49</v>
      </c>
      <c r="G10" s="12"/>
      <c r="H10" s="12"/>
      <c r="I10" s="12"/>
      <c r="J10" s="12"/>
      <c r="K10" s="12"/>
      <c r="L10" s="12"/>
      <c r="M10" s="12"/>
      <c r="N10" s="12"/>
      <c r="O10" s="12"/>
      <c r="P10" s="12"/>
      <c r="Q10" s="12"/>
      <c r="R10" s="76"/>
      <c r="S10" s="76"/>
    </row>
    <row r="11" spans="1:26" ht="16" x14ac:dyDescent="0.2">
      <c r="A11" s="76" t="s">
        <v>615</v>
      </c>
      <c r="C11" s="130">
        <v>6</v>
      </c>
      <c r="D11" s="13">
        <f t="shared" ref="D11:D16" si="0">COUNTIF(G11:P11,"X")</f>
        <v>0</v>
      </c>
      <c r="E11" s="33">
        <f t="shared" ref="E11:E15" si="1">IF(D11&gt;C11,1,IFERROR(D11/C11,""))</f>
        <v>0</v>
      </c>
      <c r="G11" s="13"/>
      <c r="H11" s="13"/>
      <c r="I11" s="13"/>
      <c r="J11" s="13"/>
      <c r="K11" s="13"/>
      <c r="L11" s="132"/>
      <c r="M11" s="132"/>
      <c r="N11" s="132"/>
      <c r="O11" s="132"/>
      <c r="P11" s="136"/>
      <c r="Q11" s="132"/>
      <c r="S11" s="76"/>
    </row>
    <row r="12" spans="1:26" ht="16" x14ac:dyDescent="0.2">
      <c r="A12" s="76" t="s">
        <v>566</v>
      </c>
      <c r="C12" s="130">
        <v>5</v>
      </c>
      <c r="D12" s="13">
        <f t="shared" si="0"/>
        <v>0</v>
      </c>
      <c r="E12" s="33">
        <f t="shared" si="1"/>
        <v>0</v>
      </c>
      <c r="G12" s="13"/>
      <c r="H12" s="13"/>
      <c r="I12" s="13"/>
      <c r="J12" s="13"/>
      <c r="K12" s="13"/>
      <c r="L12" s="132"/>
      <c r="M12" s="13"/>
      <c r="N12" s="132"/>
      <c r="O12" s="132"/>
      <c r="P12" s="132"/>
      <c r="Q12" s="132"/>
      <c r="S12" s="76"/>
    </row>
    <row r="13" spans="1:26" ht="16" x14ac:dyDescent="0.2">
      <c r="A13" s="76" t="s">
        <v>567</v>
      </c>
      <c r="C13" s="130">
        <v>5</v>
      </c>
      <c r="D13" s="13">
        <f t="shared" si="0"/>
        <v>0</v>
      </c>
      <c r="E13" s="33">
        <f t="shared" si="1"/>
        <v>0</v>
      </c>
      <c r="G13" s="13"/>
      <c r="H13" s="13"/>
      <c r="I13" s="13"/>
      <c r="J13" s="13"/>
      <c r="K13" s="13"/>
      <c r="L13" s="132"/>
      <c r="M13" s="13"/>
      <c r="N13" s="132"/>
      <c r="O13" s="132"/>
      <c r="P13" s="132"/>
      <c r="Q13" s="132"/>
      <c r="S13" s="76"/>
    </row>
    <row r="14" spans="1:26" ht="16" x14ac:dyDescent="0.2">
      <c r="A14" s="76" t="s">
        <v>568</v>
      </c>
      <c r="C14" s="130">
        <v>5</v>
      </c>
      <c r="D14" s="13">
        <f t="shared" si="0"/>
        <v>0</v>
      </c>
      <c r="E14" s="33">
        <f t="shared" si="1"/>
        <v>0</v>
      </c>
      <c r="G14" s="13"/>
      <c r="H14" s="13"/>
      <c r="I14" s="13"/>
      <c r="J14" s="13"/>
      <c r="K14" s="13"/>
      <c r="L14" s="132"/>
      <c r="M14" s="13"/>
      <c r="N14" s="132"/>
      <c r="O14" s="13"/>
      <c r="P14" s="13"/>
      <c r="Q14" s="132"/>
      <c r="R14" s="125"/>
      <c r="S14" s="76"/>
    </row>
    <row r="15" spans="1:26" ht="16" x14ac:dyDescent="0.2">
      <c r="A15" s="76" t="s">
        <v>569</v>
      </c>
      <c r="C15" s="130">
        <v>5</v>
      </c>
      <c r="D15" s="13">
        <f t="shared" si="0"/>
        <v>0</v>
      </c>
      <c r="E15" s="33">
        <f t="shared" si="1"/>
        <v>0</v>
      </c>
      <c r="G15" s="13"/>
      <c r="H15" s="13"/>
      <c r="I15" s="13"/>
      <c r="J15" s="13"/>
      <c r="K15" s="13"/>
      <c r="L15" s="132"/>
      <c r="M15" s="13"/>
      <c r="N15" s="13"/>
      <c r="O15" s="132"/>
      <c r="P15" s="132"/>
      <c r="Q15" s="132"/>
      <c r="R15" s="126"/>
      <c r="S15" s="76"/>
    </row>
    <row r="16" spans="1:26" ht="16" x14ac:dyDescent="0.2">
      <c r="A16" s="76" t="s">
        <v>570</v>
      </c>
      <c r="C16" s="130">
        <v>5</v>
      </c>
      <c r="D16" s="13">
        <f t="shared" si="0"/>
        <v>0</v>
      </c>
      <c r="E16" s="33">
        <f>IF(D16&gt;C16,1,IFERROR(D16/C16,""))</f>
        <v>0</v>
      </c>
      <c r="G16" s="13"/>
      <c r="H16" s="13"/>
      <c r="I16" s="13"/>
      <c r="J16" s="13"/>
      <c r="K16" s="13"/>
      <c r="L16" s="132"/>
      <c r="M16" s="13"/>
      <c r="N16" s="132"/>
      <c r="O16" s="13"/>
      <c r="P16" s="13"/>
      <c r="Q16" s="132"/>
      <c r="S16" s="7"/>
    </row>
    <row r="17" spans="1:18" x14ac:dyDescent="0.2"/>
    <row r="18" spans="1:18" ht="16" hidden="1" x14ac:dyDescent="0.2">
      <c r="A18" s="78" t="s">
        <v>571</v>
      </c>
      <c r="B18" s="80"/>
      <c r="C18" s="124" t="s">
        <v>553</v>
      </c>
      <c r="D18" s="124" t="s">
        <v>554</v>
      </c>
      <c r="E18" s="124" t="s">
        <v>49</v>
      </c>
      <c r="G18" s="12"/>
      <c r="H18" s="12"/>
      <c r="I18" s="12"/>
      <c r="J18" s="12"/>
      <c r="K18" s="12"/>
      <c r="L18" s="12"/>
      <c r="M18" s="12"/>
      <c r="N18" s="12"/>
      <c r="O18" s="12"/>
      <c r="P18" s="12"/>
    </row>
    <row r="19" spans="1:18" ht="16" hidden="1" x14ac:dyDescent="0.2">
      <c r="A19" s="76" t="s">
        <v>572</v>
      </c>
      <c r="C19" s="130">
        <v>3</v>
      </c>
      <c r="D19" s="13">
        <f t="shared" ref="D19:D21" si="2">COUNTIF(G19:P19,"X")</f>
        <v>0</v>
      </c>
      <c r="E19" s="33">
        <f>IF(D19&gt;C19,1,IFERROR(D19/C19,""))</f>
        <v>0</v>
      </c>
      <c r="G19" s="13"/>
      <c r="H19" s="13"/>
      <c r="I19" s="13"/>
      <c r="J19" s="137"/>
      <c r="K19" s="13"/>
      <c r="L19" s="137"/>
      <c r="M19" s="13"/>
      <c r="N19" s="13"/>
      <c r="O19" s="13"/>
      <c r="P19" s="13"/>
      <c r="R19" s="126"/>
    </row>
    <row r="20" spans="1:18" ht="16" hidden="1" x14ac:dyDescent="0.2">
      <c r="A20" s="76" t="s">
        <v>573</v>
      </c>
      <c r="C20" s="130">
        <v>10</v>
      </c>
      <c r="D20" s="13">
        <f t="shared" si="2"/>
        <v>0</v>
      </c>
      <c r="E20" s="33">
        <f>IF(D20&gt;C20,1,IFERROR(D20/C20,""))</f>
        <v>0</v>
      </c>
      <c r="G20" s="137"/>
      <c r="H20" s="137"/>
      <c r="I20" s="137"/>
      <c r="J20" s="137"/>
      <c r="K20" s="137"/>
      <c r="L20" s="137"/>
      <c r="M20" s="137"/>
      <c r="N20" s="137"/>
      <c r="O20" s="137"/>
      <c r="P20" s="137"/>
    </row>
    <row r="21" spans="1:18" ht="16" hidden="1" x14ac:dyDescent="0.2">
      <c r="A21" s="76" t="s">
        <v>574</v>
      </c>
      <c r="C21" s="130">
        <v>10</v>
      </c>
      <c r="D21" s="13">
        <f t="shared" si="2"/>
        <v>0</v>
      </c>
      <c r="E21" s="33">
        <f>IF(D21&gt;C21,1,IFERROR(D21/C21,""))</f>
        <v>0</v>
      </c>
      <c r="G21" s="137"/>
      <c r="H21" s="137"/>
      <c r="I21" s="137"/>
      <c r="J21" s="137"/>
      <c r="K21" s="137"/>
      <c r="L21" s="137"/>
      <c r="M21" s="137"/>
      <c r="N21" s="137"/>
      <c r="O21" s="137"/>
      <c r="P21" s="137"/>
    </row>
    <row r="22" spans="1:18" ht="16" hidden="1" x14ac:dyDescent="0.2">
      <c r="A22" s="76"/>
      <c r="C22" s="130"/>
      <c r="D22" s="13"/>
      <c r="E22" s="13"/>
      <c r="G22" s="13"/>
      <c r="H22" s="13"/>
      <c r="I22" s="13"/>
      <c r="J22" s="13"/>
      <c r="K22" s="13"/>
      <c r="L22" s="133"/>
      <c r="M22" s="13"/>
      <c r="N22" s="13"/>
      <c r="O22" s="13"/>
      <c r="P22" s="13"/>
    </row>
    <row r="23" spans="1:18" ht="16" hidden="1" x14ac:dyDescent="0.2">
      <c r="A23" s="127"/>
      <c r="C23" s="130"/>
      <c r="D23" s="13"/>
      <c r="E23" s="13"/>
      <c r="G23" s="13"/>
      <c r="H23" s="13"/>
      <c r="I23" s="13"/>
      <c r="J23" s="13"/>
      <c r="K23" s="13"/>
      <c r="L23" s="133"/>
      <c r="M23" s="13"/>
      <c r="N23" s="13"/>
      <c r="O23" s="13"/>
      <c r="P23" s="13"/>
      <c r="R23" s="126"/>
    </row>
    <row r="24" spans="1:18" ht="16" x14ac:dyDescent="0.2">
      <c r="A24" s="127"/>
      <c r="C24" s="127"/>
      <c r="G24" s="129"/>
      <c r="N24" s="118"/>
      <c r="O24" s="118"/>
    </row>
    <row r="25" spans="1:18" ht="16" x14ac:dyDescent="0.2">
      <c r="A25" s="7"/>
      <c r="N25" s="118"/>
      <c r="O25" s="118"/>
    </row>
    <row r="26" spans="1:18" ht="16" x14ac:dyDescent="0.2">
      <c r="A26" s="78" t="s">
        <v>575</v>
      </c>
      <c r="B26" s="80"/>
      <c r="C26" s="124" t="s">
        <v>553</v>
      </c>
      <c r="D26" s="124" t="s">
        <v>554</v>
      </c>
      <c r="E26" s="124" t="s">
        <v>49</v>
      </c>
      <c r="G26" s="12"/>
      <c r="H26" s="12"/>
      <c r="I26" s="12"/>
      <c r="J26" s="12"/>
      <c r="K26" s="12"/>
      <c r="L26" s="12"/>
      <c r="M26" s="12"/>
      <c r="N26" s="12"/>
      <c r="O26" s="12"/>
    </row>
    <row r="27" spans="1:18" ht="16" x14ac:dyDescent="0.2">
      <c r="A27" s="127" t="s">
        <v>610</v>
      </c>
      <c r="C27" s="130">
        <v>5</v>
      </c>
      <c r="D27" s="13">
        <f t="shared" ref="D27:D33" si="3">COUNTIF(G27:P27,"X")</f>
        <v>0</v>
      </c>
      <c r="E27" s="33">
        <f>IF(D27&gt;C27,1,IFERROR(D27/C27,""))</f>
        <v>0</v>
      </c>
      <c r="G27" s="13"/>
      <c r="H27" s="13"/>
      <c r="I27" s="13"/>
      <c r="J27" s="13"/>
      <c r="K27" s="13"/>
      <c r="L27" s="132"/>
      <c r="M27" s="132"/>
      <c r="N27" s="132"/>
      <c r="O27" s="132"/>
      <c r="R27" s="126"/>
    </row>
    <row r="28" spans="1:18" ht="16" x14ac:dyDescent="0.2">
      <c r="A28" s="127" t="s">
        <v>577</v>
      </c>
      <c r="C28" s="130">
        <v>4</v>
      </c>
      <c r="D28" s="13">
        <f t="shared" si="3"/>
        <v>0</v>
      </c>
      <c r="E28" s="33">
        <f>IF(D28&gt;C28,1,IFERROR(D28/C28,""))</f>
        <v>0</v>
      </c>
      <c r="G28" s="13"/>
      <c r="H28" s="13"/>
      <c r="I28" s="13"/>
      <c r="J28" s="13"/>
      <c r="K28" s="13"/>
      <c r="L28" s="132"/>
      <c r="M28" s="132"/>
      <c r="N28" s="132"/>
      <c r="O28" s="132"/>
      <c r="R28" s="126"/>
    </row>
    <row r="29" spans="1:18" ht="17" x14ac:dyDescent="0.2">
      <c r="A29" s="131" t="s">
        <v>589</v>
      </c>
      <c r="C29" s="130">
        <v>5</v>
      </c>
      <c r="D29" s="13">
        <f>COUNTIF(G29:P29,"X")</f>
        <v>0</v>
      </c>
      <c r="E29" s="33">
        <f>IF(D29&gt;C29,1,IFERROR(D29/C29,""))</f>
        <v>0</v>
      </c>
      <c r="G29" s="13"/>
      <c r="H29" s="13"/>
      <c r="I29" s="13"/>
      <c r="J29" s="13"/>
      <c r="K29" s="13"/>
      <c r="L29" s="13"/>
      <c r="M29" s="13"/>
      <c r="N29" s="13"/>
      <c r="O29" s="13"/>
      <c r="R29" s="126"/>
    </row>
    <row r="30" spans="1:18" x14ac:dyDescent="0.2">
      <c r="C30" s="130"/>
      <c r="D30" s="13">
        <f t="shared" si="3"/>
        <v>0</v>
      </c>
      <c r="E30" s="33" t="str">
        <f>IF(D30&gt;C30,1,IFERROR(D30/C30,""))</f>
        <v/>
      </c>
      <c r="G30" s="13"/>
      <c r="H30" s="13"/>
      <c r="I30" s="13"/>
      <c r="J30" s="13"/>
      <c r="K30" s="13"/>
      <c r="L30" s="13"/>
      <c r="M30" s="13"/>
      <c r="N30" s="13"/>
      <c r="O30" s="13"/>
      <c r="P30" s="126"/>
    </row>
    <row r="31" spans="1:18" ht="16" x14ac:dyDescent="0.2">
      <c r="A31" s="127"/>
      <c r="C31" s="130"/>
      <c r="D31" s="13">
        <f t="shared" si="3"/>
        <v>0</v>
      </c>
      <c r="E31" s="33" t="str">
        <f t="shared" ref="E31:E33" si="4">IF(D31&gt;C31,1,IFERROR(D31/C31,""))</f>
        <v/>
      </c>
      <c r="G31" s="13"/>
      <c r="H31" s="13"/>
      <c r="I31" s="13"/>
      <c r="J31" s="13"/>
      <c r="K31" s="13"/>
      <c r="L31" s="13"/>
      <c r="M31" s="13"/>
      <c r="N31" s="13"/>
      <c r="O31" s="13"/>
      <c r="P31" s="126"/>
    </row>
    <row r="32" spans="1:18" ht="16" x14ac:dyDescent="0.2">
      <c r="A32" s="127"/>
      <c r="C32" s="130"/>
      <c r="D32" s="13">
        <f t="shared" si="3"/>
        <v>0</v>
      </c>
      <c r="E32" s="33" t="str">
        <f t="shared" si="4"/>
        <v/>
      </c>
      <c r="G32" s="13"/>
      <c r="H32" s="13"/>
      <c r="I32" s="13"/>
      <c r="J32" s="13"/>
      <c r="K32" s="13"/>
      <c r="L32" s="13"/>
      <c r="M32" s="13"/>
      <c r="N32" s="13"/>
      <c r="O32" s="13"/>
    </row>
    <row r="33" spans="1:15" ht="16" x14ac:dyDescent="0.2">
      <c r="A33" s="127"/>
      <c r="C33" s="130"/>
      <c r="D33" s="13">
        <f t="shared" si="3"/>
        <v>0</v>
      </c>
      <c r="E33" s="33" t="str">
        <f t="shared" si="4"/>
        <v/>
      </c>
      <c r="G33" s="13"/>
      <c r="H33" s="13"/>
      <c r="I33" s="13"/>
      <c r="J33" s="13"/>
      <c r="K33" s="13"/>
      <c r="L33" s="13"/>
      <c r="M33" s="13"/>
      <c r="N33" s="13"/>
      <c r="O33" s="13"/>
    </row>
    <row r="34" spans="1:15" x14ac:dyDescent="0.2"/>
  </sheetData>
  <conditionalFormatting sqref="E5:E8 E11:E16 E19:E21">
    <cfRule type="cellIs" dxfId="18" priority="16" operator="between">
      <formula>0</formula>
      <formula>0.64</formula>
    </cfRule>
    <cfRule type="cellIs" dxfId="17" priority="17" operator="between">
      <formula>0.64</formula>
      <formula>0.8</formula>
    </cfRule>
    <cfRule type="cellIs" dxfId="16" priority="18" operator="between">
      <formula>0.79</formula>
      <formula>0.9</formula>
    </cfRule>
    <cfRule type="cellIs" dxfId="15" priority="19" operator="between">
      <formula>0.89</formula>
      <formula>1</formula>
    </cfRule>
  </conditionalFormatting>
  <conditionalFormatting sqref="E27:E33">
    <cfRule type="cellIs" dxfId="14" priority="10" operator="between">
      <formula>0</formula>
      <formula>0.64</formula>
    </cfRule>
    <cfRule type="cellIs" dxfId="13" priority="11" operator="between">
      <formula>0.64</formula>
      <formula>0.8</formula>
    </cfRule>
    <cfRule type="cellIs" dxfId="12" priority="12" operator="between">
      <formula>0.79</formula>
      <formula>0.9</formula>
    </cfRule>
    <cfRule type="cellIs" dxfId="11" priority="13" operator="between">
      <formula>0.89</formula>
      <formula>1</formula>
    </cfRule>
  </conditionalFormatting>
  <conditionalFormatting sqref="G14:M16">
    <cfRule type="cellIs" dxfId="10" priority="1" operator="equal">
      <formula>"x"</formula>
    </cfRule>
  </conditionalFormatting>
  <conditionalFormatting sqref="G5:O9">
    <cfRule type="cellIs" dxfId="9" priority="8" operator="equal">
      <formula>1</formula>
    </cfRule>
  </conditionalFormatting>
  <conditionalFormatting sqref="G17:O17 G24:O25 G27:O34">
    <cfRule type="cellIs" dxfId="8" priority="14" operator="equal">
      <formula>"x"</formula>
    </cfRule>
  </conditionalFormatting>
  <conditionalFormatting sqref="G18:P23 G26:K26">
    <cfRule type="cellIs" dxfId="7" priority="9" operator="equal">
      <formula>"x"</formula>
    </cfRule>
  </conditionalFormatting>
  <conditionalFormatting sqref="G10:Q13">
    <cfRule type="cellIs" dxfId="6" priority="3" operator="equal">
      <formula>"x"</formula>
    </cfRule>
  </conditionalFormatting>
  <conditionalFormatting sqref="H4:K4 G4:G6">
    <cfRule type="cellIs" dxfId="5" priority="15" operator="equal">
      <formula>1</formula>
    </cfRule>
  </conditionalFormatting>
  <conditionalFormatting sqref="M14:M15">
    <cfRule type="cellIs" dxfId="4" priority="6" operator="equal">
      <formula>1</formula>
    </cfRule>
  </conditionalFormatting>
  <conditionalFormatting sqref="M16:N16">
    <cfRule type="cellIs" dxfId="3" priority="5" operator="equal">
      <formula>1</formula>
    </cfRule>
  </conditionalFormatting>
  <conditionalFormatting sqref="N14:P15">
    <cfRule type="cellIs" dxfId="2" priority="2" operator="equal">
      <formula>"x"</formula>
    </cfRule>
  </conditionalFormatting>
  <conditionalFormatting sqref="O16:P16">
    <cfRule type="cellIs" dxfId="1" priority="4" operator="equal">
      <formula>"x"</formula>
    </cfRule>
  </conditionalFormatting>
  <conditionalFormatting sqref="Q14:Q16">
    <cfRule type="cellIs" dxfId="0" priority="7" operator="equal">
      <formula>1</formula>
    </cfRule>
  </conditionalFormatting>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7027276-5c61-4a13-ac1f-3c6cd684b076">
      <Terms xmlns="http://schemas.microsoft.com/office/infopath/2007/PartnerControls"/>
    </lcf76f155ced4ddcb4097134ff3c332f>
    <SharedWithUsers xmlns="506c5945-7ec1-4b11-b69d-78120a76aff1">
      <UserInfo>
        <DisplayName>Harold Villalobos</DisplayName>
        <AccountId>227</AccountId>
        <AccountType/>
      </UserInfo>
      <UserInfo>
        <DisplayName>Maria Fernanda Soto</DisplayName>
        <AccountId>2158</AccountId>
        <AccountType/>
      </UserInfo>
      <UserInfo>
        <DisplayName>David Salazar</DisplayName>
        <AccountId>447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8FDE62BAE24C640A016D7AB2AB369F1" ma:contentTypeVersion="14" ma:contentTypeDescription="Crear nuevo documento." ma:contentTypeScope="" ma:versionID="43cf68d98dd1c861bd03931b2121913e">
  <xsd:schema xmlns:xsd="http://www.w3.org/2001/XMLSchema" xmlns:xs="http://www.w3.org/2001/XMLSchema" xmlns:p="http://schemas.microsoft.com/office/2006/metadata/properties" xmlns:ns2="506c5945-7ec1-4b11-b69d-78120a76aff1" xmlns:ns3="27027276-5c61-4a13-ac1f-3c6cd684b076" targetNamespace="http://schemas.microsoft.com/office/2006/metadata/properties" ma:root="true" ma:fieldsID="da893cdf2f6f4eb09387cef44005c988" ns2:_="" ns3:_="">
    <xsd:import namespace="506c5945-7ec1-4b11-b69d-78120a76aff1"/>
    <xsd:import namespace="27027276-5c61-4a13-ac1f-3c6cd684b0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6c5945-7ec1-4b11-b69d-78120a76aff1"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027276-5c61-4a13-ac1f-3c6cd684b0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cf005c6a-6a0c-4601-b105-880cfd9b803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786F2D-E6E8-4393-87A4-A9B7366C0D80}">
  <ds:schemaRefs>
    <ds:schemaRef ds:uri="http://schemas.microsoft.com/office/infopath/2007/PartnerControls"/>
    <ds:schemaRef ds:uri="http://purl.org/dc/terms/"/>
    <ds:schemaRef ds:uri="http://schemas.microsoft.com/office/2006/documentManagement/types"/>
    <ds:schemaRef ds:uri="http://purl.org/dc/dcmitype/"/>
    <ds:schemaRef ds:uri="27027276-5c61-4a13-ac1f-3c6cd684b076"/>
    <ds:schemaRef ds:uri="http://schemas.microsoft.com/office/2006/metadata/properties"/>
    <ds:schemaRef ds:uri="http://schemas.openxmlformats.org/package/2006/metadata/core-properties"/>
    <ds:schemaRef ds:uri="506c5945-7ec1-4b11-b69d-78120a76aff1"/>
    <ds:schemaRef ds:uri="http://www.w3.org/XML/1998/namespace"/>
    <ds:schemaRef ds:uri="http://purl.org/dc/elements/1.1/"/>
  </ds:schemaRefs>
</ds:datastoreItem>
</file>

<file path=customXml/itemProps2.xml><?xml version="1.0" encoding="utf-8"?>
<ds:datastoreItem xmlns:ds="http://schemas.openxmlformats.org/officeDocument/2006/customXml" ds:itemID="{F523B4C7-59E7-420F-8E96-52A35D47AD27}">
  <ds:schemaRefs>
    <ds:schemaRef ds:uri="http://schemas.microsoft.com/sharepoint/v3/contenttype/forms"/>
  </ds:schemaRefs>
</ds:datastoreItem>
</file>

<file path=customXml/itemProps3.xml><?xml version="1.0" encoding="utf-8"?>
<ds:datastoreItem xmlns:ds="http://schemas.openxmlformats.org/officeDocument/2006/customXml" ds:itemID="{99BCA050-6820-47E0-962D-B301A0B22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6c5945-7ec1-4b11-b69d-78120a76aff1"/>
    <ds:schemaRef ds:uri="27027276-5c61-4a13-ac1f-3c6cd684b0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23</vt:i4>
      </vt:variant>
    </vt:vector>
  </HeadingPairs>
  <TitlesOfParts>
    <vt:vector size="23" baseType="lpstr">
      <vt:lpstr>Print de Roa para Copiar </vt:lpstr>
      <vt:lpstr>Respaldo NPS</vt:lpstr>
      <vt:lpstr>Aux.</vt:lpstr>
      <vt:lpstr>T1-2022</vt:lpstr>
      <vt:lpstr>T2-2022</vt:lpstr>
      <vt:lpstr>T3-2022</vt:lpstr>
      <vt:lpstr>Detalle BI</vt:lpstr>
      <vt:lpstr>CÓMO</vt:lpstr>
      <vt:lpstr>Kick Off T3</vt:lpstr>
      <vt:lpstr>Kick Off T4 y cierre</vt:lpstr>
      <vt:lpstr>Indicadores FDC</vt:lpstr>
      <vt:lpstr>Diciembre-Enero</vt:lpstr>
      <vt:lpstr>Enero-Febrero 2026</vt:lpstr>
      <vt:lpstr>Febrero-Marzo 2026</vt:lpstr>
      <vt:lpstr>Marzo-abril 2026</vt:lpstr>
      <vt:lpstr>Abril-Mayo 2026</vt:lpstr>
      <vt:lpstr>Feedback T4 por UNs </vt:lpstr>
      <vt:lpstr>Mayo-Junio 2026</vt:lpstr>
      <vt:lpstr>Junio-Julio 2026</vt:lpstr>
      <vt:lpstr>Julio-Agosto 2026</vt:lpstr>
      <vt:lpstr>Agosto-Septiembre 2026</vt:lpstr>
      <vt:lpstr>Septiembre-Octubre 2026</vt:lpstr>
      <vt:lpstr>Octubre-Noviembre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DS. Salazar</dc:creator>
  <cp:keywords/>
  <dc:description/>
  <cp:lastModifiedBy>Cesar Tecun</cp:lastModifiedBy>
  <cp:revision/>
  <dcterms:created xsi:type="dcterms:W3CDTF">2022-01-24T14:23:55Z</dcterms:created>
  <dcterms:modified xsi:type="dcterms:W3CDTF">2026-09-24T15:03:16Z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0x01010018FDE62BAE24C640A016D7AB2AB369F1</vt:lpwstr>
  </property>
  <property fmtid="{D5CDD505-2E9C-101B-9397-08002B2CF9AE}" pid="3" name="MediaServiceImageTags">
    <vt:lpwstr/>
  </property>
</Properties>
</file>